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ORMULARIO_FI" sheetId="1" state="visible" r:id="rId1"/>
    <sheet name="CAD" sheetId="2" state="visible" r:id="rId2"/>
  </sheets>
  <definedNames>
    <definedName name="CONTA_BENEFICIOS">CAD!$Q$4:$Q9</definedName>
    <definedName name="CONTA_FI">CAD!$R$4:$R$208</definedName>
    <definedName name="CONTA_VIAGENS">CAD!$P$4:$P$9</definedName>
    <definedName name="ESTRATEGIA_BENEFICIOS">CAD!$K$4:$K$5</definedName>
    <definedName name="ESTRATEGIA_EX">CAD!$M$4:$M$26</definedName>
    <definedName name="ESTRATEGIA_FI">CAD!$L$4:$L$23</definedName>
    <definedName name="ESTRATEGIA_JU">CAD!$N$4:$N$5</definedName>
    <definedName name="ESTRATEGIA_VIAGENS">CAD!$J$4:$J$5</definedName>
    <definedName name="LISTA_EMPRESAS">CAD!$B$4:$B$10</definedName>
    <definedName name="LISTA_ESTRATEGIA_APROVACAO">CAD!$J$4:$J$23</definedName>
    <definedName name="LISTA_FORMA_PGTO">CAD!$V$4:$V$7</definedName>
    <definedName name="LISTA_TIPO_FORMULARIO">CAD!$F$4:$F$9</definedName>
    <definedName name="_xlnm.Print_Area" localSheetId="0">'FORMULARIO_FI'!$A$1:$V$75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\(#,##0.00\)"/>
    <numFmt numFmtId="165" formatCode="_-* #,##0.00_-;\-* #,##0.00_-;_-* &quot;-&quot;??_-;_-@_-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rgb="FFEE0000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sz val="11"/>
      <scheme val="min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color rgb="FFFF0000"/>
      <sz val="18"/>
      <scheme val="minor"/>
    </font>
    <font>
      <name val="Aptos Narrow"/>
      <family val="2"/>
      <sz val="12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rgb="FFEE0000"/>
      <sz val="12"/>
      <u val="single"/>
      <scheme val="minor"/>
    </font>
    <font>
      <name val="Aptos Narrow"/>
      <family val="2"/>
      <color theme="0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theme="0" tint="-0.1499679555650502"/>
      </top>
      <bottom style="dotted">
        <color theme="0" tint="-0.1499679555650502"/>
      </bottom>
      <diagonal/>
    </border>
    <border>
      <left/>
      <right/>
      <top/>
      <bottom style="dotted">
        <color theme="0" tint="-0.149967955565050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tted">
        <color theme="0" tint="-0.149967955565050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9" fontId="1" fillId="0" borderId="0"/>
    <xf numFmtId="0" fontId="11" fillId="0" borderId="0"/>
  </cellStyleXfs>
  <cellXfs count="134">
    <xf numFmtId="0" fontId="0" fillId="0" borderId="0" pivotButton="0" quotePrefix="0" xfId="0"/>
    <xf numFmtId="0" fontId="6" fillId="0" borderId="0" applyAlignment="1" applyProtection="1" pivotButton="0" quotePrefix="0" xfId="0">
      <alignment vertical="center"/>
      <protection locked="1" hidden="1"/>
    </xf>
    <xf numFmtId="0" fontId="10" fillId="0" borderId="0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left" vertical="center" indent="1"/>
      <protection locked="1" hidden="1"/>
    </xf>
    <xf numFmtId="0" fontId="4" fillId="4" borderId="1" applyAlignment="1" applyProtection="1" pivotButton="0" quotePrefix="0" xfId="0">
      <alignment horizontal="center" vertical="center" wrapText="1"/>
      <protection locked="1" hidden="1"/>
    </xf>
    <xf numFmtId="164" fontId="6" fillId="0" borderId="1" applyAlignment="1" applyProtection="1" pivotButton="0" quotePrefix="0" xfId="0">
      <alignment horizontal="center" vertical="center"/>
      <protection locked="1" hidden="1"/>
    </xf>
    <xf numFmtId="165" fontId="8" fillId="0" borderId="0" applyAlignment="1" applyProtection="1" pivotButton="0" quotePrefix="0" xfId="1">
      <alignment vertical="center"/>
      <protection locked="1" hidden="1"/>
    </xf>
    <xf numFmtId="164" fontId="6" fillId="0" borderId="0" applyAlignment="1" applyProtection="1" pivotButton="0" quotePrefix="0" xfId="0">
      <alignment horizontal="center" vertical="center"/>
      <protection locked="1" hidden="1"/>
    </xf>
    <xf numFmtId="0" fontId="4" fillId="0" borderId="0" applyAlignment="1" applyProtection="1" pivotButton="0" quotePrefix="0" xfId="0">
      <alignment horizontal="left" vertical="center" indent="1"/>
      <protection locked="1" hidden="1"/>
    </xf>
    <xf numFmtId="0" fontId="5" fillId="0" borderId="0" applyAlignment="1" applyProtection="1" pivotButton="0" quotePrefix="0" xfId="0">
      <alignment vertical="center"/>
      <protection locked="1" hidden="1"/>
    </xf>
    <xf numFmtId="0" fontId="5" fillId="0" borderId="10" applyAlignment="1" applyProtection="1" pivotButton="0" quotePrefix="0" xfId="0">
      <alignment vertical="center"/>
      <protection locked="1" hidden="1"/>
    </xf>
    <xf numFmtId="0" fontId="4" fillId="0" borderId="2" applyAlignment="1" applyProtection="1" pivotButton="0" quotePrefix="0" xfId="0">
      <alignment horizontal="left" vertical="center" indent="1"/>
      <protection locked="1" hidden="1"/>
    </xf>
    <xf numFmtId="0" fontId="6" fillId="0" borderId="2" applyAlignment="1" applyProtection="1" pivotButton="0" quotePrefix="0" xfId="0">
      <alignment vertical="center"/>
      <protection locked="1" hidden="1"/>
    </xf>
    <xf numFmtId="0" fontId="6" fillId="0" borderId="13" applyAlignment="1" applyProtection="1" pivotButton="0" quotePrefix="0" xfId="0">
      <alignment vertical="center"/>
      <protection locked="1" hidden="1"/>
    </xf>
    <xf numFmtId="0" fontId="6" fillId="0" borderId="7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 indent="1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6" fillId="0" borderId="3" applyAlignment="1" applyProtection="1" pivotButton="0" quotePrefix="0" xfId="0">
      <alignment vertical="center"/>
      <protection locked="1" hidden="1"/>
    </xf>
    <xf numFmtId="0" fontId="6" fillId="0" borderId="14" applyAlignment="1" applyProtection="1" pivotButton="0" quotePrefix="0" xfId="0">
      <alignment vertical="center"/>
      <protection locked="1" hidden="1"/>
    </xf>
    <xf numFmtId="0" fontId="6" fillId="0" borderId="11" applyAlignment="1" applyProtection="1" pivotButton="0" quotePrefix="0" xfId="0">
      <alignment vertical="center"/>
      <protection locked="1" hidden="1"/>
    </xf>
    <xf numFmtId="0" fontId="4" fillId="0" borderId="0" applyAlignment="1" applyProtection="1" pivotButton="0" quotePrefix="0" xfId="0">
      <alignment horizontal="left" vertical="center"/>
      <protection locked="1" hidden="1"/>
    </xf>
    <xf numFmtId="0" fontId="6" fillId="0" borderId="10" applyAlignment="1" applyProtection="1" pivotButton="0" quotePrefix="0" xfId="0">
      <alignment vertical="center"/>
      <protection locked="1" hidden="1"/>
    </xf>
    <xf numFmtId="0" fontId="6" fillId="0" borderId="12" applyAlignment="1" applyProtection="1" pivotButton="0" quotePrefix="0" xfId="0">
      <alignment vertical="center"/>
      <protection locked="1" hidden="1"/>
    </xf>
    <xf numFmtId="0" fontId="4" fillId="0" borderId="2" applyAlignment="1" applyProtection="1" pivotButton="0" quotePrefix="0" xfId="0">
      <alignment horizontal="left" vertical="center"/>
      <protection locked="1" hidden="1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center" vertical="center"/>
      <protection locked="0" hidden="0"/>
    </xf>
    <xf numFmtId="0" fontId="13" fillId="0" borderId="0" applyAlignment="1" applyProtection="1" pivotButton="0" quotePrefix="0" xfId="0">
      <alignment vertical="center"/>
      <protection locked="1" hidden="1"/>
    </xf>
    <xf numFmtId="0" fontId="4" fillId="0" borderId="0" applyAlignment="1" applyProtection="1" pivotButton="0" quotePrefix="0" xfId="0">
      <alignment horizontal="right" vertical="center" indent="1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2" fillId="3" borderId="8" applyAlignment="1" applyProtection="1" pivotButton="0" quotePrefix="0" xfId="0">
      <alignment horizontal="center" vertical="center"/>
      <protection locked="1" hidden="1"/>
    </xf>
    <xf numFmtId="0" fontId="2" fillId="2" borderId="8" applyAlignment="1" applyProtection="1" pivotButton="0" quotePrefix="0" xfId="0">
      <alignment horizontal="center"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0" fontId="7" fillId="0" borderId="8" applyAlignment="1" applyProtection="1" pivotButton="0" quotePrefix="0" xfId="0">
      <alignment vertical="center"/>
      <protection locked="1" hidden="1"/>
    </xf>
    <xf numFmtId="10" fontId="0" fillId="0" borderId="8" applyAlignment="1" applyProtection="1" pivotButton="0" quotePrefix="0" xfId="2">
      <alignment horizontal="center"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10" fontId="0" fillId="0" borderId="15" applyAlignment="1" applyProtection="1" pivotButton="0" quotePrefix="0" xfId="2">
      <alignment horizontal="center" vertical="center"/>
      <protection locked="1" hidden="1"/>
    </xf>
    <xf numFmtId="10" fontId="0" fillId="0" borderId="0" applyAlignment="1" applyProtection="1" pivotButton="0" quotePrefix="0" xfId="2">
      <alignment horizontal="center" vertical="center"/>
      <protection locked="1" hidden="1"/>
    </xf>
    <xf numFmtId="0" fontId="2" fillId="3" borderId="0" applyAlignment="1" applyProtection="1" pivotButton="0" quotePrefix="0" xfId="0">
      <alignment horizontal="center" vertical="center"/>
      <protection locked="1" hidden="1"/>
    </xf>
    <xf numFmtId="0" fontId="9" fillId="0" borderId="0" applyAlignment="1" applyProtection="1" pivotButton="0" quotePrefix="0" xfId="0">
      <alignment horizontal="center" vertical="center"/>
      <protection locked="1" hidden="1"/>
    </xf>
    <xf numFmtId="0" fontId="6" fillId="0" borderId="1" applyAlignment="1" applyProtection="1" pivotButton="0" quotePrefix="0" xfId="0">
      <alignment horizontal="left" vertical="center" indent="1"/>
      <protection locked="0" hidden="0"/>
    </xf>
    <xf numFmtId="164" fontId="6" fillId="0" borderId="1" applyAlignment="1" applyProtection="1" pivotButton="0" quotePrefix="0" xfId="1">
      <alignment horizontal="center" vertical="center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1" hidden="1"/>
    </xf>
    <xf numFmtId="0" fontId="3" fillId="4" borderId="1" applyAlignment="1" applyProtection="1" pivotButton="0" quotePrefix="0" xfId="0">
      <alignment horizontal="center" vertical="center"/>
      <protection locked="1" hidden="1"/>
    </xf>
    <xf numFmtId="0" fontId="4" fillId="4" borderId="4" applyAlignment="1" applyProtection="1" pivotButton="0" quotePrefix="0" xfId="0">
      <alignment horizontal="center" vertical="center" wrapText="1"/>
      <protection locked="1" hidden="1"/>
    </xf>
    <xf numFmtId="0" fontId="4" fillId="4" borderId="6" applyAlignment="1" applyProtection="1" pivotButton="0" quotePrefix="0" xfId="0">
      <alignment horizontal="center" vertical="center" wrapText="1"/>
      <protection locked="1" hidden="1"/>
    </xf>
    <xf numFmtId="0" fontId="4" fillId="4" borderId="5" applyAlignment="1" applyProtection="1" pivotButton="0" quotePrefix="0" xfId="0">
      <alignment horizontal="center" vertical="center" wrapText="1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14" fontId="5" fillId="0" borderId="1" applyAlignment="1" applyProtection="1" pivotButton="0" quotePrefix="0" xfId="0">
      <alignment horizontal="center" vertical="center"/>
      <protection locked="1" hidden="1"/>
    </xf>
    <xf numFmtId="0" fontId="6" fillId="0" borderId="4" applyAlignment="1" applyProtection="1" pivotButton="0" quotePrefix="0" xfId="0">
      <alignment horizontal="left" vertical="center" indent="1"/>
      <protection locked="0" hidden="0"/>
    </xf>
    <xf numFmtId="0" fontId="6" fillId="0" borderId="6" applyAlignment="1" applyProtection="1" pivotButton="0" quotePrefix="0" xfId="0">
      <alignment horizontal="left" vertical="center" indent="1"/>
      <protection locked="0" hidden="0"/>
    </xf>
    <xf numFmtId="0" fontId="6" fillId="0" borderId="5" applyAlignment="1" applyProtection="1" pivotButton="0" quotePrefix="0" xfId="0">
      <alignment horizontal="left" vertical="center" indent="1"/>
      <protection locked="0" hidden="0"/>
    </xf>
    <xf numFmtId="164" fontId="4" fillId="4" borderId="4" applyAlignment="1" applyProtection="1" pivotButton="0" quotePrefix="0" xfId="1">
      <alignment horizontal="center" vertical="center"/>
      <protection locked="1" hidden="1"/>
    </xf>
    <xf numFmtId="164" fontId="4" fillId="4" borderId="5" applyAlignment="1" applyProtection="1" pivotButton="0" quotePrefix="0" xfId="1">
      <alignment horizontal="center" vertical="center"/>
      <protection locked="1" hidden="1"/>
    </xf>
    <xf numFmtId="0" fontId="4" fillId="4" borderId="4" applyAlignment="1" applyProtection="1" pivotButton="0" quotePrefix="0" xfId="0">
      <alignment horizontal="center" vertical="center"/>
      <protection locked="1" hidden="1"/>
    </xf>
    <xf numFmtId="0" fontId="4" fillId="4" borderId="6" applyAlignment="1" applyProtection="1" pivotButton="0" quotePrefix="0" xfId="0">
      <alignment horizontal="center" vertical="center"/>
      <protection locked="1" hidden="1"/>
    </xf>
    <xf numFmtId="0" fontId="4" fillId="4" borderId="5" applyAlignment="1" applyProtection="1" pivotButton="0" quotePrefix="0" xfId="0">
      <alignment horizontal="center" vertical="center"/>
      <protection locked="1" hidden="1"/>
    </xf>
    <xf numFmtId="164" fontId="6" fillId="0" borderId="1" applyAlignment="1" applyProtection="1" pivotButton="0" quotePrefix="0" xfId="0">
      <alignment horizontal="center" vertical="center"/>
      <protection locked="1" hidden="1"/>
    </xf>
    <xf numFmtId="0" fontId="5" fillId="5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1" hidden="1"/>
    </xf>
    <xf numFmtId="0" fontId="5" fillId="5" borderId="1" applyAlignment="1" applyProtection="1" pivotButton="0" quotePrefix="0" xfId="0">
      <alignment horizontal="left" vertical="center"/>
      <protection locked="0" hidden="0"/>
    </xf>
    <xf numFmtId="0" fontId="12" fillId="5" borderId="1" applyAlignment="1" applyProtection="1" pivotButton="0" quotePrefix="0" xfId="3">
      <alignment horizontal="left" vertical="center"/>
      <protection locked="0" hidden="0"/>
    </xf>
    <xf numFmtId="0" fontId="4" fillId="0" borderId="1" applyAlignment="1" applyProtection="1" pivotButton="0" quotePrefix="0" xfId="0">
      <alignment horizontal="left" vertical="center" indent="1"/>
      <protection locked="1" hidden="1"/>
    </xf>
    <xf numFmtId="0" fontId="5" fillId="5" borderId="4" applyAlignment="1" applyProtection="1" pivotButton="0" quotePrefix="0" xfId="0">
      <alignment horizontal="left" vertical="center" indent="1"/>
      <protection locked="0" hidden="0"/>
    </xf>
    <xf numFmtId="0" fontId="5" fillId="5" borderId="6" applyAlignment="1" applyProtection="1" pivotButton="0" quotePrefix="0" xfId="0">
      <alignment horizontal="left" vertical="center" indent="1"/>
      <protection locked="0" hidden="0"/>
    </xf>
    <xf numFmtId="0" fontId="5" fillId="5" borderId="5" applyAlignment="1" applyProtection="1" pivotButton="0" quotePrefix="0" xfId="0">
      <alignment horizontal="left" vertical="center" indent="1"/>
      <protection locked="0" hidden="0"/>
    </xf>
    <xf numFmtId="14" fontId="6" fillId="0" borderId="4" applyAlignment="1" applyProtection="1" pivotButton="0" quotePrefix="0" xfId="0">
      <alignment horizontal="center" vertical="center"/>
      <protection locked="0" hidden="0"/>
    </xf>
    <xf numFmtId="14" fontId="6" fillId="0" borderId="5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 indent="1"/>
      <protection locked="1" hidden="1"/>
    </xf>
    <xf numFmtId="0" fontId="5" fillId="0" borderId="1" applyAlignment="1" applyProtection="1" pivotButton="0" quotePrefix="0" xfId="0">
      <alignment horizontal="center" vertical="center"/>
      <protection locked="1" hidden="1"/>
    </xf>
    <xf numFmtId="0" fontId="4" fillId="0" borderId="4" applyAlignment="1" applyProtection="1" pivotButton="0" quotePrefix="0" xfId="0">
      <alignment horizontal="left" vertical="center" indent="1"/>
      <protection locked="0" hidden="0"/>
    </xf>
    <xf numFmtId="0" fontId="4" fillId="0" borderId="6" applyAlignment="1" applyProtection="1" pivotButton="0" quotePrefix="0" xfId="0">
      <alignment horizontal="left" vertical="center" indent="1"/>
      <protection locked="0" hidden="0"/>
    </xf>
    <xf numFmtId="0" fontId="4" fillId="0" borderId="5" applyAlignment="1" applyProtection="1" pivotButton="0" quotePrefix="0" xfId="0">
      <alignment horizontal="left" vertical="center" indent="1"/>
      <protection locked="0" hidden="0"/>
    </xf>
    <xf numFmtId="0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10" applyAlignment="1" applyProtection="1" pivotButton="0" quotePrefix="0" xfId="0">
      <alignment horizontal="center" vertical="center"/>
      <protection locked="0" hidden="0"/>
    </xf>
    <xf numFmtId="0" fontId="6" fillId="0" borderId="12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13" applyAlignment="1" applyProtection="1" pivotButton="0" quotePrefix="0" xfId="0">
      <alignment horizontal="center" vertical="center"/>
      <protection locked="0" hidden="0"/>
    </xf>
    <xf numFmtId="10" fontId="5" fillId="0" borderId="3" applyAlignment="1" applyProtection="1" pivotButton="0" quotePrefix="0" xfId="2">
      <alignment horizontal="center" vertical="center"/>
      <protection locked="0" hidden="0"/>
    </xf>
    <xf numFmtId="10" fontId="5" fillId="0" borderId="0" applyAlignment="1" applyProtection="1" pivotButton="0" quotePrefix="0" xfId="2">
      <alignment horizontal="center" vertical="center"/>
      <protection locked="0" hidden="0"/>
    </xf>
    <xf numFmtId="10" fontId="5" fillId="0" borderId="2" applyAlignment="1" applyProtection="1" pivotButton="0" quotePrefix="0" xfId="2">
      <alignment horizontal="center" vertical="center"/>
      <protection locked="0" hidden="0"/>
    </xf>
    <xf numFmtId="0" fontId="4" fillId="0" borderId="11" applyAlignment="1" applyProtection="1" pivotButton="0" quotePrefix="0" xfId="0">
      <alignment horizontal="left" vertical="center" indent="1"/>
      <protection locked="1" hidden="1"/>
    </xf>
    <xf numFmtId="0" fontId="4" fillId="0" borderId="0" applyAlignment="1" applyProtection="1" pivotButton="0" quotePrefix="0" xfId="0">
      <alignment horizontal="left" vertical="center" indent="1"/>
      <protection locked="1" hidden="1"/>
    </xf>
    <xf numFmtId="164" fontId="5" fillId="0" borderId="3" applyAlignment="1" applyProtection="1" pivotButton="0" quotePrefix="0" xfId="0">
      <alignment horizontal="center" vertical="center"/>
      <protection locked="1" hidden="1"/>
    </xf>
    <xf numFmtId="164" fontId="5" fillId="0" borderId="0" applyAlignment="1" applyProtection="1" pivotButton="0" quotePrefix="0" xfId="0">
      <alignment horizontal="center" vertical="center"/>
      <protection locked="1" hidden="1"/>
    </xf>
    <xf numFmtId="164" fontId="5" fillId="0" borderId="2" applyAlignment="1" applyProtection="1" pivotButton="0" quotePrefix="0" xfId="0">
      <alignment horizontal="center" vertical="center"/>
      <protection locked="1" hidden="1"/>
    </xf>
    <xf numFmtId="164" fontId="5" fillId="0" borderId="0" applyAlignment="1" applyProtection="1" pivotButton="0" quotePrefix="0" xfId="1">
      <alignment horizontal="center" vertical="center"/>
      <protection locked="1" hidden="1"/>
    </xf>
    <xf numFmtId="164" fontId="5" fillId="0" borderId="2" applyAlignment="1" applyProtection="1" pivotButton="0" quotePrefix="0" xfId="1">
      <alignment horizontal="center" vertical="center"/>
      <protection locked="1" hidden="1"/>
    </xf>
    <xf numFmtId="0" fontId="5" fillId="0" borderId="2" applyAlignment="1" applyProtection="1" pivotButton="0" quotePrefix="0" xfId="0">
      <alignment horizontal="left" vertical="center" indent="1"/>
      <protection locked="0" hidden="0"/>
    </xf>
    <xf numFmtId="0" fontId="6" fillId="0" borderId="2" applyAlignment="1" applyProtection="1" pivotButton="0" quotePrefix="0" xfId="0">
      <alignment horizontal="center" vertical="center"/>
      <protection locked="1" hidden="1"/>
    </xf>
    <xf numFmtId="0" fontId="5" fillId="0" borderId="6" applyAlignment="1" applyProtection="1" pivotButton="0" quotePrefix="0" xfId="0">
      <alignment horizontal="left" vertical="center" indent="1"/>
      <protection locked="0" hidden="0"/>
    </xf>
    <xf numFmtId="0" fontId="4" fillId="0" borderId="12" applyAlignment="1" applyProtection="1" pivotButton="0" quotePrefix="0" xfId="0">
      <alignment horizontal="center" vertical="center"/>
      <protection locked="1" hidden="1"/>
    </xf>
    <xf numFmtId="0" fontId="4" fillId="0" borderId="2" applyAlignment="1" applyProtection="1" pivotButton="0" quotePrefix="0" xfId="0">
      <alignment horizontal="center" vertical="center"/>
      <protection locked="1" hidden="1"/>
    </xf>
    <xf numFmtId="0" fontId="4" fillId="0" borderId="13" applyAlignment="1" applyProtection="1" pivotButton="0" quotePrefix="0" xfId="0">
      <alignment horizontal="center" vertical="center"/>
      <protection locked="1" hidden="1"/>
    </xf>
    <xf numFmtId="0" fontId="6" fillId="0" borderId="7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14" applyAlignment="1" applyProtection="1" pivotButton="0" quotePrefix="0" xfId="0">
      <alignment horizontal="center" vertical="center"/>
      <protection locked="0" hidden="0"/>
    </xf>
    <xf numFmtId="0" fontId="5" fillId="0" borderId="6" applyAlignment="1" applyProtection="1" pivotButton="0" quotePrefix="0" xfId="0">
      <alignment horizontal="left" vertical="center" indent="1"/>
      <protection locked="1" hidden="1"/>
    </xf>
    <xf numFmtId="0" fontId="5" fillId="0" borderId="5" applyAlignment="1" applyProtection="1" pivotButton="0" quotePrefix="0" xfId="0">
      <alignment horizontal="left" vertical="center" indent="1"/>
      <protection locked="1" hidden="1"/>
    </xf>
    <xf numFmtId="0" fontId="5" fillId="0" borderId="2" applyAlignment="1" applyProtection="1" pivotButton="0" quotePrefix="0" xfId="0">
      <alignment horizontal="left" vertical="center" indent="1"/>
      <protection locked="1" hidden="1"/>
    </xf>
    <xf numFmtId="0" fontId="5" fillId="0" borderId="13" applyAlignment="1" applyProtection="1" pivotButton="0" quotePrefix="0" xfId="0">
      <alignment horizontal="left" vertical="center" indent="1"/>
      <protection locked="1" hidden="1"/>
    </xf>
    <xf numFmtId="0" fontId="5" fillId="0" borderId="13" applyAlignment="1" applyProtection="1" pivotButton="0" quotePrefix="0" xfId="0">
      <alignment horizontal="left" vertical="center" indent="1"/>
      <protection locked="0" hidden="0"/>
    </xf>
    <xf numFmtId="0" fontId="4" fillId="0" borderId="12" applyAlignment="1" applyProtection="1" pivotButton="0" quotePrefix="0" xfId="0">
      <alignment horizontal="left" vertical="center" indent="1"/>
      <protection locked="1" hidden="1"/>
    </xf>
    <xf numFmtId="0" fontId="4" fillId="0" borderId="2" applyAlignment="1" applyProtection="1" pivotButton="0" quotePrefix="0" xfId="0">
      <alignment horizontal="left" vertical="center" indent="1"/>
      <protection locked="1" hidden="1"/>
    </xf>
    <xf numFmtId="0" fontId="2" fillId="3" borderId="9" applyAlignment="1" applyProtection="1" pivotButton="0" quotePrefix="0" xfId="0">
      <alignment horizontal="center" vertical="center"/>
      <protection locked="1" hidden="1"/>
    </xf>
    <xf numFmtId="0" fontId="2" fillId="3" borderId="8" applyAlignment="1" applyProtection="1" pivotButton="0" quotePrefix="0" xfId="0">
      <alignment horizontal="center" vertical="center"/>
      <protection locked="1" hidden="1"/>
    </xf>
    <xf numFmtId="0" fontId="2" fillId="3" borderId="0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1" hidden="1"/>
    </xf>
    <xf numFmtId="0" fontId="5" fillId="5" borderId="1" applyAlignment="1" applyProtection="1" pivotButton="0" quotePrefix="0" xfId="0">
      <alignment horizontal="left" vertical="center" indent="1"/>
      <protection locked="0" hidden="0"/>
    </xf>
    <xf numFmtId="14" fontId="6" fillId="0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 indent="1"/>
      <protection locked="0" hidden="0"/>
    </xf>
    <xf numFmtId="0" fontId="4" fillId="4" borderId="1" applyAlignment="1" applyProtection="1" pivotButton="0" quotePrefix="0" xfId="0">
      <alignment horizontal="center" vertical="center"/>
      <protection locked="1" hidden="1"/>
    </xf>
    <xf numFmtId="164" fontId="4" fillId="4" borderId="1" applyAlignment="1" applyProtection="1" pivotButton="0" quotePrefix="0" xfId="1">
      <alignment horizontal="center" vertical="center"/>
      <protection locked="1" hidden="1"/>
    </xf>
    <xf numFmtId="165" fontId="8" fillId="0" borderId="0" applyAlignment="1" applyProtection="1" pivotButton="0" quotePrefix="0" xfId="1">
      <alignment vertical="center"/>
      <protection locked="1" hidden="1"/>
    </xf>
    <xf numFmtId="0" fontId="0" fillId="0" borderId="2" applyProtection="1" pivotButton="0" quotePrefix="0" xfId="0">
      <protection locked="0" hidden="0"/>
    </xf>
    <xf numFmtId="0" fontId="0" fillId="0" borderId="2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13" applyProtection="1" pivotButton="0" quotePrefix="0" xfId="0">
      <protection locked="0" hidden="0"/>
    </xf>
    <xf numFmtId="0" fontId="0" fillId="0" borderId="3" applyProtection="1" pivotButton="0" quotePrefix="0" xfId="0">
      <protection locked="1" hidden="1"/>
    </xf>
    <xf numFmtId="0" fontId="0" fillId="0" borderId="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6" fillId="0" borderId="16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6" fillId="0" borderId="17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0" fillId="0" borderId="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</cellXfs>
  <cellStyles count="4">
    <cellStyle name="Normal" xfId="0" builtinId="0"/>
    <cellStyle name="Vírgula" xfId="1" builtinId="3"/>
    <cellStyle name="Porcentagem" xfId="2" builtinId="5"/>
    <cellStyle name="Hiperlink" xfId="3" builtinId="8"/>
  </cellStyles>
  <dxfs count="1">
    <dxf>
      <font>
        <b val="1"/>
        <color rgb="FFEE0000"/>
      </font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123823</colOff>
      <row>2</row>
      <rowOff>181770</rowOff>
    </from>
    <to>
      <col>5</col>
      <colOff>584200</colOff>
      <row>6</row>
      <rowOff>191059</rowOff>
    </to>
    <pic>
      <nvPicPr>
        <cNvPr id="4" name="Imagem 3"/>
        <cNvPicPr>
          <a:picLocks noChangeAspect="1"/>
        </cNvPicPr>
      </nvPicPr>
      <blipFill rotWithShape="1">
        <a:blip cstate="print" r:embed="rId1"/>
        <a:srcRect l="10105" r="9756"/>
        <a:stretch>
          <a:fillRect/>
        </a:stretch>
      </blipFill>
      <spPr>
        <a:xfrm>
          <a:off x="301623" y="334170"/>
          <a:ext cx="3305177" cy="127928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Via Appia">
  <a:themeElements>
    <a:clrScheme name="Via Appia - Paleta">
      <a:dk1>
        <a:srgbClr val="18191A"/>
      </a:dk1>
      <a:lt1>
        <a:srgbClr val="FFFFFF"/>
      </a:lt1>
      <a:dk2>
        <a:srgbClr val="3F3F3F"/>
      </a:dk2>
      <a:lt2>
        <a:srgbClr val="74797C"/>
      </a:lt2>
      <a:accent1>
        <a:srgbClr val="1B5D5D"/>
      </a:accent1>
      <a:accent2>
        <a:srgbClr val="656766"/>
      </a:accent2>
      <a:accent3>
        <a:srgbClr val="042660"/>
      </a:accent3>
      <a:accent4>
        <a:srgbClr val="3CA3A6"/>
      </a:accent4>
      <a:accent5>
        <a:srgbClr val="FF5400"/>
      </a:accent5>
      <a:accent6>
        <a:srgbClr val="BFBFBF"/>
      </a:accent6>
      <a:hlink>
        <a:srgbClr val="3F3F3F"/>
      </a:hlink>
      <a:folHlink>
        <a:srgbClr val="74797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A1:AA75"/>
  <sheetViews>
    <sheetView showGridLines="0" tabSelected="1" zoomScale="40" zoomScaleNormal="40" workbookViewId="0">
      <selection activeCell="R6" sqref="R6:U6"/>
    </sheetView>
  </sheetViews>
  <sheetFormatPr baseColWidth="8" defaultColWidth="0" defaultRowHeight="25" customHeight="1" zeroHeight="1"/>
  <cols>
    <col width="2.7265625" customWidth="1" style="1" min="1" max="1"/>
    <col width="10.7265625" customWidth="1" style="1" min="2" max="21"/>
    <col width="2.7265625" customWidth="1" style="1" min="22" max="22"/>
    <col hidden="1" width="22" customWidth="1" style="1" min="23" max="23"/>
    <col hidden="1" width="12" customWidth="1" style="2" min="24" max="24"/>
    <col hidden="1" width="22" customWidth="1" style="2" min="25" max="25"/>
    <col hidden="1" style="1" min="26" max="28"/>
    <col hidden="1" width="10.7265625" customWidth="1" style="1" min="29" max="16384"/>
  </cols>
  <sheetData>
    <row r="1" ht="12.65" customHeight="1">
      <c r="A1" s="26">
        <f>IF(SUM(Y5:Y46)&gt;0,"X","")</f>
        <v/>
      </c>
    </row>
    <row r="2" ht="25" customHeight="1">
      <c r="B2" s="38">
        <f>IF(SUM(Y5:Y46)&gt;0,"Atenção: Campos obrigatórios sem preenchimento","")</f>
        <v/>
      </c>
      <c r="C2" s="107" t="n"/>
      <c r="D2" s="107" t="n"/>
      <c r="E2" s="107" t="n"/>
      <c r="F2" s="107" t="n"/>
      <c r="G2" s="107" t="n"/>
      <c r="H2" s="107" t="n"/>
      <c r="I2" s="107" t="n"/>
      <c r="J2" s="107" t="n"/>
      <c r="K2" s="107" t="n"/>
      <c r="L2" s="107" t="n"/>
      <c r="M2" s="107" t="n"/>
      <c r="N2" s="107" t="n"/>
      <c r="O2" s="107" t="n"/>
      <c r="P2" s="107" t="n"/>
      <c r="Q2" s="107" t="n"/>
      <c r="R2" s="107" t="n"/>
      <c r="S2" s="107" t="n"/>
      <c r="T2" s="107" t="n"/>
      <c r="U2" s="107" t="n"/>
    </row>
    <row r="3" ht="25" customHeight="1">
      <c r="G3" s="61" t="inlineStr">
        <is>
          <t>EMPRESA:</t>
        </is>
      </c>
      <c r="H3" s="108" t="n"/>
      <c r="I3" s="57" t="inlineStr">
        <is>
          <t>VIA APPIA S.A.</t>
        </is>
      </c>
      <c r="J3" s="109" t="n"/>
      <c r="K3" s="109" t="n"/>
      <c r="L3" s="110" t="n"/>
      <c r="M3" s="61" t="inlineStr">
        <is>
          <t>CNPJ:</t>
        </is>
      </c>
      <c r="N3" s="58">
        <f>IF(I3="","",_xlfn.XLOOKUP(I3,CAD!B:B,CAD!C:C,""))</f>
        <v/>
      </c>
      <c r="O3" s="111" t="n"/>
      <c r="P3" s="111" t="n"/>
      <c r="Q3" s="108" t="n"/>
      <c r="R3" s="46" t="inlineStr">
        <is>
          <t>DATA EMISSÃO:</t>
        </is>
      </c>
      <c r="S3" s="111" t="n"/>
      <c r="T3" s="111" t="n"/>
      <c r="U3" s="108" t="n"/>
      <c r="Y3" s="2">
        <f>_xlfn.XLOOKUP(N7,CAD!F:F,CAD!G:G,"")</f>
        <v/>
      </c>
    </row>
    <row r="4" ht="25" customHeight="1">
      <c r="G4" s="61" t="inlineStr">
        <is>
          <t>ENDEREÇO:</t>
        </is>
      </c>
      <c r="H4" s="108" t="n"/>
      <c r="I4" s="67">
        <f>IF(I3="","",_xlfn.XLOOKUP(I3,CAD!B:B,CAD!D:D,""))</f>
        <v/>
      </c>
      <c r="J4" s="111" t="n"/>
      <c r="K4" s="111" t="n"/>
      <c r="L4" s="111" t="n"/>
      <c r="M4" s="111" t="n"/>
      <c r="N4" s="111" t="n"/>
      <c r="O4" s="111" t="n"/>
      <c r="P4" s="111" t="n"/>
      <c r="Q4" s="108" t="n"/>
      <c r="R4" s="47">
        <f>TODAY()</f>
        <v/>
      </c>
      <c r="S4" s="111" t="n"/>
      <c r="T4" s="111" t="n"/>
      <c r="U4" s="108" t="n"/>
      <c r="Y4" s="2">
        <f>_xlfn.XLOOKUP(N7,CAD!F:F,CAD!H:H,"")</f>
        <v/>
      </c>
    </row>
    <row r="5" ht="25" customHeight="1">
      <c r="G5" s="61" t="inlineStr">
        <is>
          <t>SOLICITANTE:</t>
        </is>
      </c>
      <c r="H5" s="108" t="n"/>
      <c r="I5" s="59" t="inlineStr">
        <is>
          <t>joao</t>
        </is>
      </c>
      <c r="J5" s="109" t="n"/>
      <c r="K5" s="109" t="n"/>
      <c r="L5" s="109" t="n"/>
      <c r="M5" s="109" t="n"/>
      <c r="N5" s="109" t="n"/>
      <c r="O5" s="109" t="n"/>
      <c r="P5" s="109" t="n"/>
      <c r="Q5" s="110" t="n"/>
      <c r="R5" s="46" t="inlineStr">
        <is>
          <t>DATA VENCIMENTO (15 DIAS UTEIS):</t>
        </is>
      </c>
      <c r="S5" s="111" t="n"/>
      <c r="T5" s="111" t="n"/>
      <c r="U5" s="108" t="n"/>
      <c r="X5" s="2" t="inlineStr">
        <is>
          <t>Empresa</t>
        </is>
      </c>
      <c r="Y5" s="2">
        <f>IF(I3="",1,0)</f>
        <v/>
      </c>
    </row>
    <row r="6" ht="25" customHeight="1">
      <c r="G6" s="61" t="inlineStr">
        <is>
          <t>E-MAIL:</t>
        </is>
      </c>
      <c r="H6" s="108" t="n"/>
      <c r="I6" s="60" t="inlineStr">
        <is>
          <t>dezborges@gmail.com</t>
        </is>
      </c>
      <c r="J6" s="109" t="n"/>
      <c r="K6" s="109" t="n"/>
      <c r="L6" s="109" t="n"/>
      <c r="M6" s="109" t="n"/>
      <c r="N6" s="109" t="n"/>
      <c r="O6" s="109" t="n"/>
      <c r="P6" s="109" t="n"/>
      <c r="Q6" s="110" t="n"/>
      <c r="R6" s="47">
        <f>IF(N7="ENTRADAS FI (EXCEÇÃO)",R4,WORKDAY.INTL(R4,15,1))</f>
        <v/>
      </c>
      <c r="S6" s="111" t="n"/>
      <c r="T6" s="111" t="n"/>
      <c r="U6" s="108" t="n"/>
      <c r="X6" s="2" t="inlineStr">
        <is>
          <t>Solicitante</t>
        </is>
      </c>
      <c r="Y6" s="2">
        <f>IF(I5="",1,0)</f>
        <v/>
      </c>
    </row>
    <row r="7" ht="25" customHeight="1">
      <c r="G7" s="61" t="inlineStr">
        <is>
          <t>Nº REF:</t>
        </is>
      </c>
      <c r="H7" s="108" t="n"/>
      <c r="I7" s="68">
        <f>LEFT(G11,2)&amp;LEFT(T49,1)&amp;LEFT(R6,6)</f>
        <v/>
      </c>
      <c r="J7" s="111" t="n"/>
      <c r="K7" s="111" t="n"/>
      <c r="L7" s="108" t="n"/>
      <c r="M7" s="61" t="inlineStr">
        <is>
          <t>TIPO:</t>
        </is>
      </c>
      <c r="N7" s="57" t="inlineStr">
        <is>
          <t>ENTRADAS FI (GUIAS JUDICIAIS)</t>
        </is>
      </c>
      <c r="O7" s="109" t="n"/>
      <c r="P7" s="109" t="n"/>
      <c r="Q7" s="110" t="n"/>
      <c r="R7" s="61" t="inlineStr">
        <is>
          <t>APROV.:</t>
        </is>
      </c>
      <c r="S7" s="57" t="n"/>
      <c r="T7" s="109" t="n"/>
      <c r="U7" s="110" t="n"/>
      <c r="X7" s="2" t="inlineStr">
        <is>
          <t>E-mail</t>
        </is>
      </c>
      <c r="Y7" s="2">
        <f>IF(I6="",1,0)</f>
        <v/>
      </c>
    </row>
    <row r="8" ht="12.65" customHeight="1">
      <c r="X8" s="2" t="inlineStr">
        <is>
          <t>Tipo</t>
        </is>
      </c>
      <c r="Y8" s="2">
        <f>IF(N7="",1,0)</f>
        <v/>
      </c>
    </row>
    <row r="9" ht="25" customHeight="1">
      <c r="B9" s="42">
        <f>IF(N7="ENTRADAS FI (PAGAMENTOS)","DADOS DO FORNECEDOR","DADOS DO COLABORADOR")</f>
        <v/>
      </c>
      <c r="C9" s="111" t="n"/>
      <c r="D9" s="111" t="n"/>
      <c r="E9" s="111" t="n"/>
      <c r="F9" s="111" t="n"/>
      <c r="G9" s="111" t="n"/>
      <c r="H9" s="111" t="n"/>
      <c r="I9" s="111" t="n"/>
      <c r="J9" s="111" t="n"/>
      <c r="K9" s="111" t="n"/>
      <c r="L9" s="111" t="n"/>
      <c r="M9" s="111" t="n"/>
      <c r="N9" s="111" t="n"/>
      <c r="O9" s="111" t="n"/>
      <c r="P9" s="111" t="n"/>
      <c r="Q9" s="111" t="n"/>
      <c r="R9" s="111" t="n"/>
      <c r="S9" s="111" t="n"/>
      <c r="T9" s="111" t="n"/>
      <c r="U9" s="108" t="n"/>
      <c r="X9" s="2" t="inlineStr">
        <is>
          <t>Estrategia</t>
        </is>
      </c>
      <c r="Y9" s="2">
        <f>IF(S7="",1,0)</f>
        <v/>
      </c>
    </row>
    <row r="10" ht="25" customHeight="1">
      <c r="B10" s="61">
        <f>IF(N7="ENTRADAS FI (PAGAMENTOS)","RAZÃO SOCIAL","NOME")</f>
        <v/>
      </c>
      <c r="C10" s="111" t="n"/>
      <c r="D10" s="111" t="n"/>
      <c r="E10" s="111" t="n"/>
      <c r="F10" s="108" t="n"/>
      <c r="G10" s="112" t="inlineStr">
        <is>
          <t>Joao</t>
        </is>
      </c>
      <c r="H10" s="109" t="n"/>
      <c r="I10" s="109" t="n"/>
      <c r="J10" s="109" t="n"/>
      <c r="K10" s="109" t="n"/>
      <c r="L10" s="109" t="n"/>
      <c r="M10" s="109" t="n"/>
      <c r="N10" s="109" t="n"/>
      <c r="O10" s="110" t="n"/>
      <c r="P10" s="61" t="inlineStr">
        <is>
          <t>NÍVEL HIERÁRQUICO:</t>
        </is>
      </c>
      <c r="Q10" s="111" t="n"/>
      <c r="R10" s="108" t="n"/>
      <c r="S10" s="57" t="inlineStr">
        <is>
          <t>Especialista</t>
        </is>
      </c>
      <c r="T10" s="109" t="n"/>
      <c r="U10" s="110" t="n"/>
      <c r="X10" s="2" t="inlineStr">
        <is>
          <t>Nome</t>
        </is>
      </c>
      <c r="Y10" s="2">
        <f>IF(G10="",1,0)</f>
        <v/>
      </c>
    </row>
    <row r="11" ht="25" customHeight="1">
      <c r="B11" s="61">
        <f>IF(N7="ENTRADAS FI (PAGAMENTOS)","CNPJ/CPF","CPF")</f>
        <v/>
      </c>
      <c r="C11" s="111" t="n"/>
      <c r="D11" s="111" t="n"/>
      <c r="E11" s="111" t="n"/>
      <c r="F11" s="108" t="n"/>
      <c r="G11" s="112" t="inlineStr">
        <is>
          <t>03545338193</t>
        </is>
      </c>
      <c r="H11" s="109" t="n"/>
      <c r="I11" s="109" t="n"/>
      <c r="J11" s="109" t="n"/>
      <c r="K11" s="109" t="n"/>
      <c r="L11" s="109" t="n"/>
      <c r="M11" s="109" t="n"/>
      <c r="N11" s="109" t="n"/>
      <c r="O11" s="110" t="n"/>
      <c r="P11" s="61" t="inlineStr">
        <is>
          <t>Nº FORNECEDOR SAP:</t>
        </is>
      </c>
      <c r="Q11" s="111" t="n"/>
      <c r="R11" s="108" t="n"/>
      <c r="S11" s="57" t="inlineStr">
        <is>
          <t>12</t>
        </is>
      </c>
      <c r="T11" s="109" t="n"/>
      <c r="U11" s="110" t="n"/>
      <c r="X11" s="2" t="inlineStr">
        <is>
          <t>CPF</t>
        </is>
      </c>
      <c r="Y11" s="2">
        <f>IF(G11="",1,0)</f>
        <v/>
      </c>
    </row>
    <row r="12" ht="12.65" customHeight="1">
      <c r="X12" s="2" t="inlineStr">
        <is>
          <t>Nivel</t>
        </is>
      </c>
      <c r="Y12" s="2">
        <f>IF(S10="",1,0)</f>
        <v/>
      </c>
    </row>
    <row r="13" ht="25" customHeight="1">
      <c r="B13" s="42" t="inlineStr">
        <is>
          <t>DETALHES</t>
        </is>
      </c>
      <c r="C13" s="111" t="n"/>
      <c r="D13" s="111" t="n"/>
      <c r="E13" s="111" t="n"/>
      <c r="F13" s="111" t="n"/>
      <c r="G13" s="111" t="n"/>
      <c r="H13" s="111" t="n"/>
      <c r="I13" s="111" t="n"/>
      <c r="J13" s="111" t="n"/>
      <c r="K13" s="111" t="n"/>
      <c r="L13" s="111" t="n"/>
      <c r="M13" s="111" t="n"/>
      <c r="N13" s="111" t="n"/>
      <c r="O13" s="111" t="n"/>
      <c r="P13" s="111" t="n"/>
      <c r="Q13" s="111" t="n"/>
      <c r="R13" s="111" t="n"/>
      <c r="S13" s="111" t="n"/>
      <c r="T13" s="111" t="n"/>
      <c r="U13" s="108" t="n"/>
      <c r="X13" s="2" t="inlineStr">
        <is>
          <t>Fornecedor</t>
        </is>
      </c>
      <c r="Y13" s="2">
        <f>IF(S11="",1,0)</f>
        <v/>
      </c>
    </row>
    <row r="14" ht="25" customHeight="1">
      <c r="B14" s="41" t="inlineStr">
        <is>
          <t>DATA</t>
        </is>
      </c>
      <c r="C14" s="108" t="n"/>
      <c r="D14" s="41" t="inlineStr">
        <is>
          <t>CONTA RAZÃO</t>
        </is>
      </c>
      <c r="E14" s="111" t="n"/>
      <c r="F14" s="111" t="n"/>
      <c r="G14" s="108" t="n"/>
      <c r="H14" s="41" t="inlineStr">
        <is>
          <t>CENTRO DE CUSTO</t>
        </is>
      </c>
      <c r="I14" s="111" t="n"/>
      <c r="J14" s="111" t="n"/>
      <c r="K14" s="108" t="n"/>
      <c r="L14" s="41" t="inlineStr">
        <is>
          <t>MOTIVO OU JUSTIFICATIVA</t>
        </is>
      </c>
      <c r="M14" s="111" t="n"/>
      <c r="N14" s="111" t="n"/>
      <c r="O14" s="111" t="n"/>
      <c r="P14" s="111" t="n"/>
      <c r="Q14" s="111" t="n"/>
      <c r="R14" s="108" t="n"/>
      <c r="S14" s="41" t="inlineStr">
        <is>
          <t>QTDE</t>
        </is>
      </c>
      <c r="T14" s="41" t="inlineStr">
        <is>
          <t>VALOR GASTO</t>
        </is>
      </c>
      <c r="U14" s="108" t="n"/>
    </row>
    <row r="15" ht="25" customHeight="1">
      <c r="B15" s="113" t="inlineStr">
        <is>
          <t>12</t>
        </is>
      </c>
      <c r="C15" s="110" t="n"/>
      <c r="D15" s="39" t="inlineStr">
        <is>
          <t>123</t>
        </is>
      </c>
      <c r="E15" s="109" t="n"/>
      <c r="F15" s="109" t="n"/>
      <c r="G15" s="110" t="n"/>
      <c r="H15" s="39" t="inlineStr">
        <is>
          <t>2</t>
        </is>
      </c>
      <c r="I15" s="109" t="n"/>
      <c r="J15" s="109" t="n"/>
      <c r="K15" s="110" t="n"/>
      <c r="L15" s="39" t="inlineStr">
        <is>
          <t>3</t>
        </is>
      </c>
      <c r="M15" s="109" t="n"/>
      <c r="N15" s="109" t="n"/>
      <c r="O15" s="109" t="n"/>
      <c r="P15" s="109" t="n"/>
      <c r="Q15" s="109" t="n"/>
      <c r="R15" s="110" t="n"/>
      <c r="S15" s="24" t="inlineStr">
        <is>
          <t>1</t>
        </is>
      </c>
      <c r="T15" s="40" t="inlineStr">
        <is>
          <t>2121</t>
        </is>
      </c>
      <c r="U15" s="110" t="n"/>
      <c r="X15" s="2">
        <f>IF(T15&gt;0,L15,"X")</f>
        <v/>
      </c>
      <c r="Y15" s="2">
        <f>IF(X15=0,1,0)</f>
        <v/>
      </c>
    </row>
    <row r="16" ht="25" customHeight="1">
      <c r="B16" s="113" t="inlineStr">
        <is>
          <t>2</t>
        </is>
      </c>
      <c r="C16" s="110" t="n"/>
      <c r="D16" s="39" t="inlineStr">
        <is>
          <t>2</t>
        </is>
      </c>
      <c r="E16" s="109" t="n"/>
      <c r="F16" s="109" t="n"/>
      <c r="G16" s="110" t="n"/>
      <c r="H16" s="39" t="inlineStr">
        <is>
          <t>2</t>
        </is>
      </c>
      <c r="I16" s="109" t="n"/>
      <c r="J16" s="109" t="n"/>
      <c r="K16" s="110" t="n"/>
      <c r="L16" s="39" t="inlineStr">
        <is>
          <t>23</t>
        </is>
      </c>
      <c r="M16" s="109" t="n"/>
      <c r="N16" s="109" t="n"/>
      <c r="O16" s="109" t="n"/>
      <c r="P16" s="109" t="n"/>
      <c r="Q16" s="109" t="n"/>
      <c r="R16" s="110" t="n"/>
      <c r="S16" s="24" t="inlineStr">
        <is>
          <t>2</t>
        </is>
      </c>
      <c r="T16" s="40" t="inlineStr">
        <is>
          <t>12311</t>
        </is>
      </c>
      <c r="U16" s="110" t="n"/>
      <c r="X16" s="2">
        <f>IF(T16&gt;0,L16,"X")</f>
        <v/>
      </c>
      <c r="Y16" s="2">
        <f>IF(X16=0,1,0)</f>
        <v/>
      </c>
    </row>
    <row r="17" ht="25" customHeight="1">
      <c r="B17" s="113" t="n"/>
      <c r="C17" s="110" t="n"/>
      <c r="D17" s="39" t="n"/>
      <c r="E17" s="109" t="n"/>
      <c r="F17" s="109" t="n"/>
      <c r="G17" s="110" t="n"/>
      <c r="H17" s="39" t="n"/>
      <c r="I17" s="109" t="n"/>
      <c r="J17" s="109" t="n"/>
      <c r="K17" s="110" t="n"/>
      <c r="L17" s="114" t="n"/>
      <c r="M17" s="109" t="n"/>
      <c r="N17" s="109" t="n"/>
      <c r="O17" s="109" t="n"/>
      <c r="P17" s="109" t="n"/>
      <c r="Q17" s="109" t="n"/>
      <c r="R17" s="110" t="n"/>
      <c r="S17" s="24" t="n"/>
      <c r="T17" s="40" t="n"/>
      <c r="U17" s="110" t="n"/>
      <c r="X17" s="2">
        <f>IF(T17&gt;0,L17,"X")</f>
        <v/>
      </c>
      <c r="Y17" s="2">
        <f>IF(X17=0,1,0)</f>
        <v/>
      </c>
    </row>
    <row r="18" ht="25" customHeight="1">
      <c r="B18" s="113" t="n"/>
      <c r="C18" s="110" t="n"/>
      <c r="D18" s="39" t="n"/>
      <c r="E18" s="109" t="n"/>
      <c r="F18" s="109" t="n"/>
      <c r="G18" s="110" t="n"/>
      <c r="H18" s="39" t="n"/>
      <c r="I18" s="109" t="n"/>
      <c r="J18" s="109" t="n"/>
      <c r="K18" s="110" t="n"/>
      <c r="L18" s="39" t="n"/>
      <c r="M18" s="109" t="n"/>
      <c r="N18" s="109" t="n"/>
      <c r="O18" s="109" t="n"/>
      <c r="P18" s="109" t="n"/>
      <c r="Q18" s="109" t="n"/>
      <c r="R18" s="110" t="n"/>
      <c r="S18" s="24" t="n"/>
      <c r="T18" s="40" t="n"/>
      <c r="U18" s="110" t="n"/>
      <c r="X18" s="2">
        <f>IF(T18&gt;0,L18,"X")</f>
        <v/>
      </c>
      <c r="Y18" s="2">
        <f>IF(X18=0,1,0)</f>
        <v/>
      </c>
    </row>
    <row r="19" ht="25" customHeight="1">
      <c r="B19" s="113" t="n"/>
      <c r="C19" s="110" t="n"/>
      <c r="D19" s="39" t="n"/>
      <c r="E19" s="109" t="n"/>
      <c r="F19" s="109" t="n"/>
      <c r="G19" s="110" t="n"/>
      <c r="H19" s="39" t="n"/>
      <c r="I19" s="109" t="n"/>
      <c r="J19" s="109" t="n"/>
      <c r="K19" s="110" t="n"/>
      <c r="L19" s="39" t="n"/>
      <c r="M19" s="109" t="n"/>
      <c r="N19" s="109" t="n"/>
      <c r="O19" s="109" t="n"/>
      <c r="P19" s="109" t="n"/>
      <c r="Q19" s="109" t="n"/>
      <c r="R19" s="110" t="n"/>
      <c r="S19" s="24" t="n"/>
      <c r="T19" s="40" t="n"/>
      <c r="U19" s="110" t="n"/>
      <c r="X19" s="2">
        <f>IF(T19&gt;0,L19,"X")</f>
        <v/>
      </c>
      <c r="Y19" s="2">
        <f>IF(X19=0,1,0)</f>
        <v/>
      </c>
    </row>
    <row r="20" ht="25" customHeight="1">
      <c r="B20" s="113" t="n"/>
      <c r="C20" s="110" t="n"/>
      <c r="D20" s="39" t="n"/>
      <c r="E20" s="109" t="n"/>
      <c r="F20" s="109" t="n"/>
      <c r="G20" s="110" t="n"/>
      <c r="H20" s="39" t="n"/>
      <c r="I20" s="109" t="n"/>
      <c r="J20" s="109" t="n"/>
      <c r="K20" s="110" t="n"/>
      <c r="L20" s="39" t="n"/>
      <c r="M20" s="109" t="n"/>
      <c r="N20" s="109" t="n"/>
      <c r="O20" s="109" t="n"/>
      <c r="P20" s="109" t="n"/>
      <c r="Q20" s="109" t="n"/>
      <c r="R20" s="110" t="n"/>
      <c r="S20" s="24" t="n"/>
      <c r="T20" s="40" t="n"/>
      <c r="U20" s="110" t="n"/>
      <c r="X20" s="2">
        <f>IF(T20&gt;0,L20,"X")</f>
        <v/>
      </c>
      <c r="Y20" s="2">
        <f>IF(X20=0,1,0)</f>
        <v/>
      </c>
    </row>
    <row r="21" ht="25" customHeight="1">
      <c r="B21" s="113" t="n"/>
      <c r="C21" s="110" t="n"/>
      <c r="D21" s="39" t="n"/>
      <c r="E21" s="109" t="n"/>
      <c r="F21" s="109" t="n"/>
      <c r="G21" s="110" t="n"/>
      <c r="H21" s="39" t="n"/>
      <c r="I21" s="109" t="n"/>
      <c r="J21" s="109" t="n"/>
      <c r="K21" s="110" t="n"/>
      <c r="L21" s="39" t="n"/>
      <c r="M21" s="109" t="n"/>
      <c r="N21" s="109" t="n"/>
      <c r="O21" s="109" t="n"/>
      <c r="P21" s="109" t="n"/>
      <c r="Q21" s="109" t="n"/>
      <c r="R21" s="110" t="n"/>
      <c r="S21" s="24" t="n"/>
      <c r="T21" s="40" t="n"/>
      <c r="U21" s="110" t="n"/>
      <c r="X21" s="2">
        <f>IF(T21&gt;0,L21,"X")</f>
        <v/>
      </c>
      <c r="Y21" s="2">
        <f>IF(X21=0,1,0)</f>
        <v/>
      </c>
    </row>
    <row r="22" ht="25" customHeight="1">
      <c r="B22" s="113" t="n"/>
      <c r="C22" s="110" t="n"/>
      <c r="D22" s="39" t="n"/>
      <c r="E22" s="109" t="n"/>
      <c r="F22" s="109" t="n"/>
      <c r="G22" s="110" t="n"/>
      <c r="H22" s="39" t="n"/>
      <c r="I22" s="109" t="n"/>
      <c r="J22" s="109" t="n"/>
      <c r="K22" s="110" t="n"/>
      <c r="L22" s="39" t="n"/>
      <c r="M22" s="109" t="n"/>
      <c r="N22" s="109" t="n"/>
      <c r="O22" s="109" t="n"/>
      <c r="P22" s="109" t="n"/>
      <c r="Q22" s="109" t="n"/>
      <c r="R22" s="110" t="n"/>
      <c r="S22" s="24" t="n"/>
      <c r="T22" s="40" t="n"/>
      <c r="U22" s="110" t="n"/>
      <c r="X22" s="2">
        <f>IF(T22&gt;0,L22,"X")</f>
        <v/>
      </c>
      <c r="Y22" s="2">
        <f>IF(X22=0,1,0)</f>
        <v/>
      </c>
    </row>
    <row r="23" ht="25" customHeight="1">
      <c r="B23" s="113" t="n"/>
      <c r="C23" s="110" t="n"/>
      <c r="D23" s="39" t="n"/>
      <c r="E23" s="109" t="n"/>
      <c r="F23" s="109" t="n"/>
      <c r="G23" s="110" t="n"/>
      <c r="H23" s="39" t="n"/>
      <c r="I23" s="109" t="n"/>
      <c r="J23" s="109" t="n"/>
      <c r="K23" s="110" t="n"/>
      <c r="L23" s="39" t="n"/>
      <c r="M23" s="109" t="n"/>
      <c r="N23" s="109" t="n"/>
      <c r="O23" s="109" t="n"/>
      <c r="P23" s="109" t="n"/>
      <c r="Q23" s="109" t="n"/>
      <c r="R23" s="110" t="n"/>
      <c r="S23" s="24" t="n"/>
      <c r="T23" s="40" t="n"/>
      <c r="U23" s="110" t="n"/>
      <c r="X23" s="2">
        <f>IF(T23&gt;0,L23,"X")</f>
        <v/>
      </c>
      <c r="Y23" s="2">
        <f>IF(X23=0,1,0)</f>
        <v/>
      </c>
    </row>
    <row r="24" ht="25" customHeight="1">
      <c r="B24" s="113" t="n"/>
      <c r="C24" s="110" t="n"/>
      <c r="D24" s="39" t="n"/>
      <c r="E24" s="109" t="n"/>
      <c r="F24" s="109" t="n"/>
      <c r="G24" s="110" t="n"/>
      <c r="H24" s="39" t="n"/>
      <c r="I24" s="109" t="n"/>
      <c r="J24" s="109" t="n"/>
      <c r="K24" s="110" t="n"/>
      <c r="L24" s="39" t="n"/>
      <c r="M24" s="109" t="n"/>
      <c r="N24" s="109" t="n"/>
      <c r="O24" s="109" t="n"/>
      <c r="P24" s="109" t="n"/>
      <c r="Q24" s="109" t="n"/>
      <c r="R24" s="110" t="n"/>
      <c r="S24" s="24" t="n"/>
      <c r="T24" s="40" t="n"/>
      <c r="U24" s="110" t="n"/>
      <c r="X24" s="2">
        <f>IF(T24&gt;0,L24,"X")</f>
        <v/>
      </c>
      <c r="Y24" s="2">
        <f>IF(X24=0,1,0)</f>
        <v/>
      </c>
    </row>
    <row r="25" ht="25" customHeight="1">
      <c r="B25" s="113" t="n"/>
      <c r="C25" s="110" t="n"/>
      <c r="D25" s="39" t="n"/>
      <c r="E25" s="109" t="n"/>
      <c r="F25" s="109" t="n"/>
      <c r="G25" s="110" t="n"/>
      <c r="H25" s="39" t="n"/>
      <c r="I25" s="109" t="n"/>
      <c r="J25" s="109" t="n"/>
      <c r="K25" s="110" t="n"/>
      <c r="L25" s="39" t="n"/>
      <c r="M25" s="109" t="n"/>
      <c r="N25" s="109" t="n"/>
      <c r="O25" s="109" t="n"/>
      <c r="P25" s="109" t="n"/>
      <c r="Q25" s="109" t="n"/>
      <c r="R25" s="110" t="n"/>
      <c r="S25" s="24" t="n"/>
      <c r="T25" s="40" t="n"/>
      <c r="U25" s="110" t="n"/>
      <c r="X25" s="2">
        <f>IF(T25&gt;0,L25,"X")</f>
        <v/>
      </c>
      <c r="Y25" s="2">
        <f>IF(X25=0,1,0)</f>
        <v/>
      </c>
    </row>
    <row r="26" ht="25" customHeight="1">
      <c r="B26" s="113" t="n"/>
      <c r="C26" s="110" t="n"/>
      <c r="D26" s="39" t="n"/>
      <c r="E26" s="109" t="n"/>
      <c r="F26" s="109" t="n"/>
      <c r="G26" s="110" t="n"/>
      <c r="H26" s="39" t="n"/>
      <c r="I26" s="109" t="n"/>
      <c r="J26" s="109" t="n"/>
      <c r="K26" s="110" t="n"/>
      <c r="L26" s="39" t="n"/>
      <c r="M26" s="109" t="n"/>
      <c r="N26" s="109" t="n"/>
      <c r="O26" s="109" t="n"/>
      <c r="P26" s="109" t="n"/>
      <c r="Q26" s="109" t="n"/>
      <c r="R26" s="110" t="n"/>
      <c r="S26" s="24" t="n"/>
      <c r="T26" s="40" t="n"/>
      <c r="U26" s="110" t="n"/>
      <c r="X26" s="2">
        <f>IF(T26&gt;0,L26,"X")</f>
        <v/>
      </c>
      <c r="Y26" s="2">
        <f>IF(X26=0,1,0)</f>
        <v/>
      </c>
    </row>
    <row r="27" ht="25" customHeight="1">
      <c r="B27" s="113" t="n"/>
      <c r="C27" s="110" t="n"/>
      <c r="D27" s="39" t="n"/>
      <c r="E27" s="109" t="n"/>
      <c r="F27" s="109" t="n"/>
      <c r="G27" s="110" t="n"/>
      <c r="H27" s="39" t="n"/>
      <c r="I27" s="109" t="n"/>
      <c r="J27" s="109" t="n"/>
      <c r="K27" s="110" t="n"/>
      <c r="L27" s="39" t="n"/>
      <c r="M27" s="109" t="n"/>
      <c r="N27" s="109" t="n"/>
      <c r="O27" s="109" t="n"/>
      <c r="P27" s="109" t="n"/>
      <c r="Q27" s="109" t="n"/>
      <c r="R27" s="110" t="n"/>
      <c r="S27" s="24" t="n"/>
      <c r="T27" s="40" t="n"/>
      <c r="U27" s="110" t="n"/>
      <c r="X27" s="2">
        <f>IF(T27&gt;0,L27,"X")</f>
        <v/>
      </c>
      <c r="Y27" s="2">
        <f>IF(X27=0,1,0)</f>
        <v/>
      </c>
    </row>
    <row r="28" ht="25" customHeight="1">
      <c r="B28" s="113" t="n"/>
      <c r="C28" s="110" t="n"/>
      <c r="D28" s="39" t="n"/>
      <c r="E28" s="109" t="n"/>
      <c r="F28" s="109" t="n"/>
      <c r="G28" s="110" t="n"/>
      <c r="H28" s="39" t="n"/>
      <c r="I28" s="109" t="n"/>
      <c r="J28" s="109" t="n"/>
      <c r="K28" s="110" t="n"/>
      <c r="L28" s="39" t="n"/>
      <c r="M28" s="109" t="n"/>
      <c r="N28" s="109" t="n"/>
      <c r="O28" s="109" t="n"/>
      <c r="P28" s="109" t="n"/>
      <c r="Q28" s="109" t="n"/>
      <c r="R28" s="110" t="n"/>
      <c r="S28" s="24" t="n"/>
      <c r="T28" s="40" t="n"/>
      <c r="U28" s="110" t="n"/>
      <c r="X28" s="2">
        <f>IF(T28&gt;0,L28,"X")</f>
        <v/>
      </c>
      <c r="Y28" s="2">
        <f>IF(X28=0,1,0)</f>
        <v/>
      </c>
    </row>
    <row r="29" ht="25" customHeight="1">
      <c r="B29" s="113" t="n"/>
      <c r="C29" s="110" t="n"/>
      <c r="D29" s="39" t="n"/>
      <c r="E29" s="109" t="n"/>
      <c r="F29" s="109" t="n"/>
      <c r="G29" s="110" t="n"/>
      <c r="H29" s="39" t="n"/>
      <c r="I29" s="109" t="n"/>
      <c r="J29" s="109" t="n"/>
      <c r="K29" s="110" t="n"/>
      <c r="L29" s="39" t="n"/>
      <c r="M29" s="109" t="n"/>
      <c r="N29" s="109" t="n"/>
      <c r="O29" s="109" t="n"/>
      <c r="P29" s="109" t="n"/>
      <c r="Q29" s="109" t="n"/>
      <c r="R29" s="110" t="n"/>
      <c r="S29" s="24" t="n"/>
      <c r="T29" s="40" t="n"/>
      <c r="U29" s="110" t="n"/>
      <c r="X29" s="2">
        <f>IF(T29&gt;0,L29,"X")</f>
        <v/>
      </c>
      <c r="Y29" s="2">
        <f>IF(X29=0,1,0)</f>
        <v/>
      </c>
    </row>
    <row r="30" ht="25" customHeight="1">
      <c r="B30" s="113" t="n"/>
      <c r="C30" s="110" t="n"/>
      <c r="D30" s="39" t="n"/>
      <c r="E30" s="109" t="n"/>
      <c r="F30" s="109" t="n"/>
      <c r="G30" s="110" t="n"/>
      <c r="H30" s="39" t="n"/>
      <c r="I30" s="109" t="n"/>
      <c r="J30" s="109" t="n"/>
      <c r="K30" s="110" t="n"/>
      <c r="L30" s="39" t="n"/>
      <c r="M30" s="109" t="n"/>
      <c r="N30" s="109" t="n"/>
      <c r="O30" s="109" t="n"/>
      <c r="P30" s="109" t="n"/>
      <c r="Q30" s="109" t="n"/>
      <c r="R30" s="110" t="n"/>
      <c r="S30" s="24" t="n"/>
      <c r="T30" s="40" t="n"/>
      <c r="U30" s="110" t="n"/>
      <c r="X30" s="2">
        <f>IF(T30&gt;0,L30,"X")</f>
        <v/>
      </c>
      <c r="Y30" s="2">
        <f>IF(X30=0,1,0)</f>
        <v/>
      </c>
    </row>
    <row r="31" ht="25" customHeight="1">
      <c r="B31" s="113" t="n"/>
      <c r="C31" s="110" t="n"/>
      <c r="D31" s="39" t="n"/>
      <c r="E31" s="109" t="n"/>
      <c r="F31" s="109" t="n"/>
      <c r="G31" s="110" t="n"/>
      <c r="H31" s="39" t="n"/>
      <c r="I31" s="109" t="n"/>
      <c r="J31" s="109" t="n"/>
      <c r="K31" s="110" t="n"/>
      <c r="L31" s="39" t="n"/>
      <c r="M31" s="109" t="n"/>
      <c r="N31" s="109" t="n"/>
      <c r="O31" s="109" t="n"/>
      <c r="P31" s="109" t="n"/>
      <c r="Q31" s="109" t="n"/>
      <c r="R31" s="110" t="n"/>
      <c r="S31" s="24" t="n"/>
      <c r="T31" s="40" t="n"/>
      <c r="U31" s="110" t="n"/>
      <c r="X31" s="2">
        <f>IF(T31&gt;0,L31,"X")</f>
        <v/>
      </c>
      <c r="Y31" s="2">
        <f>IF(X31=0,1,0)</f>
        <v/>
      </c>
    </row>
    <row r="32" ht="25" customHeight="1">
      <c r="B32" s="113" t="n"/>
      <c r="C32" s="110" t="n"/>
      <c r="D32" s="39" t="n"/>
      <c r="E32" s="109" t="n"/>
      <c r="F32" s="109" t="n"/>
      <c r="G32" s="110" t="n"/>
      <c r="H32" s="39" t="n"/>
      <c r="I32" s="109" t="n"/>
      <c r="J32" s="109" t="n"/>
      <c r="K32" s="110" t="n"/>
      <c r="L32" s="39" t="n"/>
      <c r="M32" s="109" t="n"/>
      <c r="N32" s="109" t="n"/>
      <c r="O32" s="109" t="n"/>
      <c r="P32" s="109" t="n"/>
      <c r="Q32" s="109" t="n"/>
      <c r="R32" s="110" t="n"/>
      <c r="S32" s="24" t="n"/>
      <c r="T32" s="40" t="n"/>
      <c r="U32" s="110" t="n"/>
      <c r="X32" s="2">
        <f>IF(T32&gt;0,L32,"X")</f>
        <v/>
      </c>
      <c r="Y32" s="2">
        <f>IF(X32=0,1,0)</f>
        <v/>
      </c>
    </row>
    <row r="33" ht="25" customHeight="1">
      <c r="B33" s="113" t="n"/>
      <c r="C33" s="110" t="n"/>
      <c r="D33" s="39" t="n"/>
      <c r="E33" s="109" t="n"/>
      <c r="F33" s="109" t="n"/>
      <c r="G33" s="110" t="n"/>
      <c r="H33" s="39" t="n"/>
      <c r="I33" s="109" t="n"/>
      <c r="J33" s="109" t="n"/>
      <c r="K33" s="110" t="n"/>
      <c r="L33" s="39" t="n"/>
      <c r="M33" s="109" t="n"/>
      <c r="N33" s="109" t="n"/>
      <c r="O33" s="109" t="n"/>
      <c r="P33" s="109" t="n"/>
      <c r="Q33" s="109" t="n"/>
      <c r="R33" s="110" t="n"/>
      <c r="S33" s="24" t="n"/>
      <c r="T33" s="40" t="n"/>
      <c r="U33" s="110" t="n"/>
      <c r="X33" s="2">
        <f>IF(T33&gt;0,L33,"X")</f>
        <v/>
      </c>
      <c r="Y33" s="2">
        <f>IF(X33=0,1,0)</f>
        <v/>
      </c>
    </row>
    <row r="34" ht="25" customHeight="1">
      <c r="B34" s="113" t="n"/>
      <c r="C34" s="110" t="n"/>
      <c r="D34" s="39" t="n"/>
      <c r="E34" s="109" t="n"/>
      <c r="F34" s="109" t="n"/>
      <c r="G34" s="110" t="n"/>
      <c r="H34" s="39" t="n"/>
      <c r="I34" s="109" t="n"/>
      <c r="J34" s="109" t="n"/>
      <c r="K34" s="110" t="n"/>
      <c r="L34" s="39" t="n"/>
      <c r="M34" s="109" t="n"/>
      <c r="N34" s="109" t="n"/>
      <c r="O34" s="109" t="n"/>
      <c r="P34" s="109" t="n"/>
      <c r="Q34" s="109" t="n"/>
      <c r="R34" s="110" t="n"/>
      <c r="S34" s="24" t="n"/>
      <c r="T34" s="40" t="n"/>
      <c r="U34" s="110" t="n"/>
      <c r="X34" s="2">
        <f>IF(T34&gt;0,L34,"X")</f>
        <v/>
      </c>
      <c r="Y34" s="2">
        <f>IF(X34=0,1,0)</f>
        <v/>
      </c>
    </row>
    <row r="35" ht="25" customHeight="1">
      <c r="P35" s="115" t="inlineStr">
        <is>
          <t>SUB-TOTAL</t>
        </is>
      </c>
      <c r="Q35" s="111" t="n"/>
      <c r="R35" s="111" t="n"/>
      <c r="S35" s="108" t="n"/>
      <c r="T35" s="116">
        <f>SUBTOTAL(9,T15:U34)</f>
        <v/>
      </c>
      <c r="U35" s="108" t="n"/>
    </row>
    <row r="36" ht="12.65" customHeight="1"/>
    <row r="37" ht="25" customHeight="1">
      <c r="B37" s="42" t="inlineStr">
        <is>
          <t>REEMBOLSO DE QUILOMETRAGEM</t>
        </is>
      </c>
      <c r="C37" s="111" t="n"/>
      <c r="D37" s="111" t="n"/>
      <c r="E37" s="111" t="n"/>
      <c r="F37" s="111" t="n"/>
      <c r="G37" s="111" t="n"/>
      <c r="H37" s="111" t="n"/>
      <c r="I37" s="111" t="n"/>
      <c r="J37" s="111" t="n"/>
      <c r="K37" s="111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08" t="n"/>
    </row>
    <row r="38" ht="25" customHeight="1">
      <c r="B38" s="41" t="inlineStr">
        <is>
          <t>DATA</t>
        </is>
      </c>
      <c r="C38" s="108" t="n"/>
      <c r="D38" s="41" t="inlineStr">
        <is>
          <t>CONTA RAZÃO</t>
        </is>
      </c>
      <c r="E38" s="111" t="n"/>
      <c r="F38" s="111" t="n"/>
      <c r="G38" s="108" t="n"/>
      <c r="H38" s="41" t="inlineStr">
        <is>
          <t>CENTRO DE CUSTO</t>
        </is>
      </c>
      <c r="I38" s="111" t="n"/>
      <c r="J38" s="111" t="n"/>
      <c r="K38" s="108" t="n"/>
      <c r="L38" s="41" t="inlineStr">
        <is>
          <t>MOTIVO OU JUSTIFICATIVA</t>
        </is>
      </c>
      <c r="M38" s="111" t="n"/>
      <c r="N38" s="111" t="n"/>
      <c r="O38" s="111" t="n"/>
      <c r="P38" s="111" t="n"/>
      <c r="Q38" s="108" t="n"/>
      <c r="R38" s="41" t="inlineStr">
        <is>
          <t>QTDE</t>
        </is>
      </c>
      <c r="S38" s="41" t="inlineStr">
        <is>
          <t>VALOR KM</t>
        </is>
      </c>
      <c r="T38" s="41" t="inlineStr">
        <is>
          <t>VALOR GASTO</t>
        </is>
      </c>
      <c r="U38" s="108" t="n"/>
    </row>
    <row r="39" ht="25" customHeight="1">
      <c r="B39" s="113" t="inlineStr">
        <is>
          <t>1</t>
        </is>
      </c>
      <c r="C39" s="110" t="n"/>
      <c r="D39" s="39" t="inlineStr">
        <is>
          <t>2</t>
        </is>
      </c>
      <c r="E39" s="109" t="n"/>
      <c r="F39" s="109" t="n"/>
      <c r="G39" s="110" t="n"/>
      <c r="H39" s="39" t="inlineStr">
        <is>
          <t>2</t>
        </is>
      </c>
      <c r="I39" s="109" t="n"/>
      <c r="J39" s="109" t="n"/>
      <c r="K39" s="110" t="n"/>
      <c r="L39" s="39" t="inlineStr">
        <is>
          <t>3</t>
        </is>
      </c>
      <c r="M39" s="109" t="n"/>
      <c r="N39" s="109" t="n"/>
      <c r="O39" s="109" t="n"/>
      <c r="P39" s="109" t="n"/>
      <c r="Q39" s="110" t="n"/>
      <c r="R39" s="25" t="inlineStr">
        <is>
          <t>1</t>
        </is>
      </c>
      <c r="S39" s="56" t="inlineStr">
        <is>
          <t>1231</t>
        </is>
      </c>
      <c r="T39" s="56" t="n"/>
      <c r="U39" s="108" t="n"/>
      <c r="X39" s="2">
        <f>IF(B39&gt;0,L39,"X")</f>
        <v/>
      </c>
      <c r="Y39" s="2">
        <f>IF(X39=0,1,0)</f>
        <v/>
      </c>
    </row>
    <row r="40" ht="25" customHeight="1">
      <c r="B40" s="113" t="n"/>
      <c r="C40" s="110" t="n"/>
      <c r="D40" s="39" t="inlineStr">
        <is>
          <t>11</t>
        </is>
      </c>
      <c r="E40" s="109" t="n"/>
      <c r="F40" s="109" t="n"/>
      <c r="G40" s="110" t="n"/>
      <c r="H40" s="39" t="inlineStr">
        <is>
          <t>1</t>
        </is>
      </c>
      <c r="I40" s="109" t="n"/>
      <c r="J40" s="109" t="n"/>
      <c r="K40" s="110" t="n"/>
      <c r="L40" s="39" t="inlineStr">
        <is>
          <t>2</t>
        </is>
      </c>
      <c r="M40" s="109" t="n"/>
      <c r="N40" s="109" t="n"/>
      <c r="O40" s="109" t="n"/>
      <c r="P40" s="109" t="n"/>
      <c r="Q40" s="110" t="n"/>
      <c r="R40" s="25" t="inlineStr">
        <is>
          <t>123</t>
        </is>
      </c>
      <c r="S40" s="56" t="inlineStr">
        <is>
          <t>13221</t>
        </is>
      </c>
      <c r="T40" s="56" t="n"/>
      <c r="U40" s="108" t="n"/>
      <c r="X40" s="2">
        <f>IF(B40&gt;0,L40,"X")</f>
        <v/>
      </c>
      <c r="Y40" s="2">
        <f>IF(X40=0,1,0)</f>
        <v/>
      </c>
      <c r="AA40" s="117">
        <f>T40</f>
        <v/>
      </c>
    </row>
    <row r="41" ht="25" customHeight="1">
      <c r="B41" s="113" t="n"/>
      <c r="C41" s="110" t="n"/>
      <c r="D41" s="39" t="n"/>
      <c r="E41" s="109" t="n"/>
      <c r="F41" s="109" t="n"/>
      <c r="G41" s="110" t="n"/>
      <c r="H41" s="39" t="n"/>
      <c r="I41" s="109" t="n"/>
      <c r="J41" s="109" t="n"/>
      <c r="K41" s="110" t="n"/>
      <c r="L41" s="39" t="n"/>
      <c r="M41" s="109" t="n"/>
      <c r="N41" s="109" t="n"/>
      <c r="O41" s="109" t="n"/>
      <c r="P41" s="109" t="n"/>
      <c r="Q41" s="110" t="n"/>
      <c r="R41" s="25" t="n"/>
      <c r="S41" s="56">
        <f>IF(B41="","",1.5)</f>
        <v/>
      </c>
      <c r="T41" s="56">
        <f>IF(B41="","",R41*S41)</f>
        <v/>
      </c>
      <c r="U41" s="108" t="n"/>
      <c r="X41" s="2">
        <f>IF(B41&gt;0,L41,"X")</f>
        <v/>
      </c>
      <c r="Y41" s="2">
        <f>IF(X41=0,1,0)</f>
        <v/>
      </c>
    </row>
    <row r="42" ht="25" customHeight="1">
      <c r="B42" s="113" t="n"/>
      <c r="C42" s="110" t="n"/>
      <c r="D42" s="39" t="n"/>
      <c r="E42" s="109" t="n"/>
      <c r="F42" s="109" t="n"/>
      <c r="G42" s="110" t="n"/>
      <c r="H42" s="39" t="n"/>
      <c r="I42" s="109" t="n"/>
      <c r="J42" s="109" t="n"/>
      <c r="K42" s="110" t="n"/>
      <c r="L42" s="39" t="n"/>
      <c r="M42" s="109" t="n"/>
      <c r="N42" s="109" t="n"/>
      <c r="O42" s="109" t="n"/>
      <c r="P42" s="109" t="n"/>
      <c r="Q42" s="110" t="n"/>
      <c r="R42" s="25" t="n"/>
      <c r="S42" s="56">
        <f>IF(B42="","",1.5)</f>
        <v/>
      </c>
      <c r="T42" s="56">
        <f>IF(B42="","",R42*S42)</f>
        <v/>
      </c>
      <c r="U42" s="108" t="n"/>
      <c r="X42" s="2">
        <f>IF(B42&gt;0,L42,"X")</f>
        <v/>
      </c>
      <c r="Y42" s="2">
        <f>IF(X42=0,1,0)</f>
        <v/>
      </c>
    </row>
    <row r="43" ht="25" customHeight="1">
      <c r="B43" s="113" t="n"/>
      <c r="C43" s="110" t="n"/>
      <c r="D43" s="39" t="n"/>
      <c r="E43" s="109" t="n"/>
      <c r="F43" s="109" t="n"/>
      <c r="G43" s="110" t="n"/>
      <c r="H43" s="39" t="n"/>
      <c r="I43" s="109" t="n"/>
      <c r="J43" s="109" t="n"/>
      <c r="K43" s="110" t="n"/>
      <c r="L43" s="39" t="n"/>
      <c r="M43" s="109" t="n"/>
      <c r="N43" s="109" t="n"/>
      <c r="O43" s="109" t="n"/>
      <c r="P43" s="109" t="n"/>
      <c r="Q43" s="110" t="n"/>
      <c r="R43" s="25" t="n"/>
      <c r="S43" s="56">
        <f>IF(B43="","",1.5)</f>
        <v/>
      </c>
      <c r="T43" s="56">
        <f>IF(B43="","",R43*S43)</f>
        <v/>
      </c>
      <c r="U43" s="108" t="n"/>
      <c r="X43" s="2">
        <f>IF(B43&gt;0,L43,"X")</f>
        <v/>
      </c>
      <c r="Y43" s="2">
        <f>IF(X43=0,1,0)</f>
        <v/>
      </c>
    </row>
    <row r="44" ht="25" customHeight="1">
      <c r="B44" s="113" t="n"/>
      <c r="C44" s="110" t="n"/>
      <c r="D44" s="39" t="n"/>
      <c r="E44" s="109" t="n"/>
      <c r="F44" s="109" t="n"/>
      <c r="G44" s="110" t="n"/>
      <c r="H44" s="39" t="n"/>
      <c r="I44" s="109" t="n"/>
      <c r="J44" s="109" t="n"/>
      <c r="K44" s="110" t="n"/>
      <c r="L44" s="39" t="n"/>
      <c r="M44" s="109" t="n"/>
      <c r="N44" s="109" t="n"/>
      <c r="O44" s="109" t="n"/>
      <c r="P44" s="109" t="n"/>
      <c r="Q44" s="110" t="n"/>
      <c r="R44" s="25" t="n"/>
      <c r="S44" s="56">
        <f>IF(B44="","",1.5)</f>
        <v/>
      </c>
      <c r="T44" s="56">
        <f>IF(B44="","",R44*S44)</f>
        <v/>
      </c>
      <c r="U44" s="108" t="n"/>
      <c r="X44" s="2">
        <f>IF(B44&gt;0,L44,"X")</f>
        <v/>
      </c>
      <c r="Y44" s="2">
        <f>IF(X44=0,1,0)</f>
        <v/>
      </c>
    </row>
    <row r="45" ht="25" customHeight="1">
      <c r="B45" s="113" t="n"/>
      <c r="C45" s="110" t="n"/>
      <c r="D45" s="39" t="n"/>
      <c r="E45" s="109" t="n"/>
      <c r="F45" s="109" t="n"/>
      <c r="G45" s="110" t="n"/>
      <c r="H45" s="39" t="n"/>
      <c r="I45" s="109" t="n"/>
      <c r="J45" s="109" t="n"/>
      <c r="K45" s="110" t="n"/>
      <c r="L45" s="39" t="n"/>
      <c r="M45" s="109" t="n"/>
      <c r="N45" s="109" t="n"/>
      <c r="O45" s="109" t="n"/>
      <c r="P45" s="109" t="n"/>
      <c r="Q45" s="110" t="n"/>
      <c r="R45" s="25" t="n"/>
      <c r="S45" s="56">
        <f>IF(B45="","",1.5)</f>
        <v/>
      </c>
      <c r="T45" s="56">
        <f>IF(B45="","",R45*S45)</f>
        <v/>
      </c>
      <c r="U45" s="108" t="n"/>
      <c r="X45" s="2">
        <f>IF(B45&gt;0,L45,"X")</f>
        <v/>
      </c>
      <c r="Y45" s="2">
        <f>IF(X45=0,1,0)</f>
        <v/>
      </c>
    </row>
    <row r="46" ht="25" customHeight="1">
      <c r="B46" s="113" t="n"/>
      <c r="C46" s="110" t="n"/>
      <c r="D46" s="39" t="n"/>
      <c r="E46" s="109" t="n"/>
      <c r="F46" s="109" t="n"/>
      <c r="G46" s="110" t="n"/>
      <c r="H46" s="39" t="n"/>
      <c r="I46" s="109" t="n"/>
      <c r="J46" s="109" t="n"/>
      <c r="K46" s="110" t="n"/>
      <c r="L46" s="39" t="n"/>
      <c r="M46" s="109" t="n"/>
      <c r="N46" s="109" t="n"/>
      <c r="O46" s="109" t="n"/>
      <c r="P46" s="109" t="n"/>
      <c r="Q46" s="110" t="n"/>
      <c r="R46" s="25" t="n"/>
      <c r="S46" s="56">
        <f>IF(B46="","",1.5)</f>
        <v/>
      </c>
      <c r="T46" s="56">
        <f>IF(B46="","",R46*S46)</f>
        <v/>
      </c>
      <c r="U46" s="108" t="n"/>
      <c r="X46" s="2">
        <f>IF(B46&gt;0,L46,"X")</f>
        <v/>
      </c>
      <c r="Y46" s="2">
        <f>IF(X46=0,1,0)</f>
        <v/>
      </c>
    </row>
    <row r="47" ht="25" customHeight="1">
      <c r="P47" s="115" t="inlineStr">
        <is>
          <t>SUB-TOTAL</t>
        </is>
      </c>
      <c r="Q47" s="111" t="n"/>
      <c r="R47" s="111" t="n"/>
      <c r="S47" s="108" t="n"/>
      <c r="T47" s="116">
        <f>SUBTOTAL(9,T39:U46)</f>
        <v/>
      </c>
      <c r="U47" s="108" t="n"/>
    </row>
    <row r="48" ht="12.65" customHeight="1">
      <c r="T48" s="7" t="n"/>
      <c r="U48" s="7" t="n"/>
    </row>
    <row r="49" ht="25" customHeight="1">
      <c r="P49" s="115" t="inlineStr">
        <is>
          <t>TOTAL GERAL</t>
        </is>
      </c>
      <c r="Q49" s="111" t="n"/>
      <c r="R49" s="111" t="n"/>
      <c r="S49" s="108" t="n"/>
      <c r="T49" s="116">
        <f>SUBTOTAL(9,T15:U48)</f>
        <v/>
      </c>
      <c r="U49" s="108" t="n"/>
    </row>
    <row r="50" ht="12.65" customHeight="1"/>
    <row r="51" ht="25" customHeight="1">
      <c r="B51" s="42" t="inlineStr">
        <is>
          <t>CONDIÇÃO DE PAGAMENTO</t>
        </is>
      </c>
      <c r="C51" s="111" t="n"/>
      <c r="D51" s="111" t="n"/>
      <c r="E51" s="111" t="n"/>
      <c r="F51" s="111" t="n"/>
      <c r="G51" s="111" t="n"/>
      <c r="H51" s="111" t="n"/>
      <c r="I51" s="111" t="n"/>
      <c r="J51" s="111" t="n"/>
      <c r="K51" s="111" t="n"/>
      <c r="L51" s="111" t="n"/>
      <c r="M51" s="111" t="n"/>
      <c r="N51" s="111" t="n"/>
      <c r="O51" s="111" t="n"/>
      <c r="P51" s="111" t="n"/>
      <c r="Q51" s="111" t="n"/>
      <c r="R51" s="111" t="n"/>
      <c r="S51" s="111" t="n"/>
      <c r="T51" s="111" t="n"/>
      <c r="U51" s="108" t="n"/>
    </row>
    <row r="52" ht="25" customHeight="1">
      <c r="B52" s="81" t="inlineStr">
        <is>
          <t>PAGAMENTO ATRAVÉS DE:</t>
        </is>
      </c>
      <c r="C52" s="107" t="n"/>
      <c r="D52" s="107" t="n"/>
      <c r="E52" s="90" t="n"/>
      <c r="F52" s="109" t="n"/>
      <c r="G52" s="109" t="n"/>
      <c r="H52" s="109" t="n"/>
      <c r="I52" s="109" t="n"/>
      <c r="J52" s="109" t="n"/>
      <c r="K52" s="109" t="n"/>
      <c r="L52" s="82" t="inlineStr">
        <is>
          <t>TITULAR:</t>
        </is>
      </c>
      <c r="M52" s="107" t="n"/>
      <c r="N52" s="107" t="n"/>
      <c r="O52" s="98">
        <f>IF(G10="","",G10)</f>
        <v/>
      </c>
      <c r="P52" s="111" t="n"/>
      <c r="Q52" s="111" t="n"/>
      <c r="R52" s="111" t="n"/>
      <c r="S52" s="111" t="n"/>
      <c r="T52" s="111" t="n"/>
      <c r="U52" s="108" t="n"/>
    </row>
    <row r="53" ht="25" customHeight="1">
      <c r="B53" s="81" t="inlineStr">
        <is>
          <t>BANCO:</t>
        </is>
      </c>
      <c r="C53" s="107" t="n"/>
      <c r="D53" s="107" t="n"/>
      <c r="E53" s="88" t="n"/>
      <c r="F53" s="118" t="n"/>
      <c r="G53" s="118" t="n"/>
      <c r="H53" s="118" t="n"/>
      <c r="I53" s="118" t="n"/>
      <c r="J53" s="118" t="n"/>
      <c r="K53" s="118" t="n"/>
      <c r="L53" s="82" t="inlineStr">
        <is>
          <t>CNPJ / CPF:</t>
        </is>
      </c>
      <c r="M53" s="107" t="n"/>
      <c r="N53" s="107" t="n"/>
      <c r="O53" s="100">
        <f>IF(G11="","",G11)</f>
        <v/>
      </c>
      <c r="P53" s="119" t="n"/>
      <c r="Q53" s="119" t="n"/>
      <c r="R53" s="119" t="n"/>
      <c r="S53" s="119" t="n"/>
      <c r="T53" s="119" t="n"/>
      <c r="U53" s="120" t="n"/>
    </row>
    <row r="54" ht="25" customHeight="1">
      <c r="B54" s="81" t="inlineStr">
        <is>
          <t>AGÊNCIA:</t>
        </is>
      </c>
      <c r="C54" s="107" t="n"/>
      <c r="D54" s="107" t="n"/>
      <c r="E54" s="88" t="n"/>
      <c r="F54" s="118" t="n"/>
      <c r="G54" s="118" t="n"/>
      <c r="H54" s="118" t="n"/>
      <c r="I54" s="118" t="n"/>
      <c r="J54" s="118" t="n"/>
      <c r="K54" s="118" t="n"/>
      <c r="L54" s="82" t="inlineStr">
        <is>
          <t>TIPO DE CONTA:</t>
        </is>
      </c>
      <c r="M54" s="107" t="n"/>
      <c r="N54" s="107" t="n"/>
      <c r="O54" s="101" t="n"/>
      <c r="P54" s="118" t="n"/>
      <c r="Q54" s="118" t="n"/>
      <c r="R54" s="118" t="n"/>
      <c r="S54" s="118" t="n"/>
      <c r="T54" s="118" t="n"/>
      <c r="U54" s="121" t="n"/>
    </row>
    <row r="55" ht="25" customHeight="1">
      <c r="B55" s="81" t="inlineStr">
        <is>
          <t>CONTA:</t>
        </is>
      </c>
      <c r="C55" s="107" t="n"/>
      <c r="D55" s="107" t="n"/>
      <c r="E55" s="88" t="n"/>
      <c r="F55" s="118" t="n"/>
      <c r="G55" s="118" t="n"/>
      <c r="H55" s="118" t="n"/>
      <c r="I55" s="118" t="n"/>
      <c r="J55" s="118" t="n"/>
      <c r="K55" s="118" t="n"/>
      <c r="L55" s="82" t="inlineStr">
        <is>
          <t>VALOR LÍQUIDO:</t>
        </is>
      </c>
      <c r="M55" s="107" t="n"/>
      <c r="N55" s="107" t="n"/>
      <c r="O55" s="87">
        <f>(SUBTOTAL(9,T15:U49)-(SUM(D59,D60,N59,D61,N60,N61)))</f>
        <v/>
      </c>
      <c r="P55" s="119" t="n"/>
      <c r="Q55" s="119" t="n"/>
      <c r="R55" s="9" t="n"/>
      <c r="S55" s="9" t="n"/>
      <c r="T55" s="9" t="n"/>
      <c r="U55" s="10" t="n"/>
    </row>
    <row r="56" ht="25" customHeight="1">
      <c r="B56" s="102" t="inlineStr">
        <is>
          <t>CHAVE PIX:</t>
        </is>
      </c>
      <c r="C56" s="119" t="n"/>
      <c r="D56" s="119" t="n"/>
      <c r="E56" s="88" t="n"/>
      <c r="F56" s="118" t="n"/>
      <c r="G56" s="118" t="n"/>
      <c r="H56" s="118" t="n"/>
      <c r="I56" s="118" t="n"/>
      <c r="J56" s="118" t="n"/>
      <c r="K56" s="118" t="n"/>
      <c r="L56" s="89" t="n"/>
      <c r="M56" s="119" t="n"/>
      <c r="N56" s="119" t="n"/>
      <c r="O56" s="12" t="n"/>
      <c r="P56" s="12" t="n"/>
      <c r="Q56" s="12" t="n"/>
      <c r="R56" s="12" t="n"/>
      <c r="S56" s="12" t="n"/>
      <c r="T56" s="12" t="n"/>
      <c r="U56" s="13" t="n"/>
    </row>
    <row r="57" ht="12.65" customHeight="1"/>
    <row r="58" ht="25" customHeight="1">
      <c r="B58" s="42" t="inlineStr">
        <is>
          <t>IMPOSTOS</t>
        </is>
      </c>
      <c r="C58" s="111" t="n"/>
      <c r="D58" s="111" t="n"/>
      <c r="E58" s="111" t="n"/>
      <c r="F58" s="111" t="n"/>
      <c r="G58" s="111" t="n"/>
      <c r="H58" s="111" t="n"/>
      <c r="I58" s="111" t="n"/>
      <c r="J58" s="111" t="n"/>
      <c r="K58" s="111" t="n"/>
      <c r="L58" s="111" t="n"/>
      <c r="M58" s="111" t="n"/>
      <c r="N58" s="111" t="n"/>
      <c r="O58" s="111" t="n"/>
      <c r="P58" s="111" t="n"/>
      <c r="Q58" s="111" t="n"/>
      <c r="R58" s="111" t="n"/>
      <c r="S58" s="111" t="n"/>
      <c r="T58" s="111" t="n"/>
      <c r="U58" s="108" t="n"/>
    </row>
    <row r="59" ht="25" customHeight="1">
      <c r="B59" s="14" t="n"/>
      <c r="C59" s="15" t="inlineStr">
        <is>
          <t>INSS:</t>
        </is>
      </c>
      <c r="D59" s="83">
        <f>$T$35*H59</f>
        <v/>
      </c>
      <c r="E59" s="122" t="n"/>
      <c r="F59" s="122" t="n"/>
      <c r="G59" s="16" t="inlineStr">
        <is>
          <t xml:space="preserve">Alíquota: </t>
        </is>
      </c>
      <c r="H59" s="78" t="n"/>
      <c r="I59" s="123" t="n"/>
      <c r="J59" s="123" t="n"/>
      <c r="K59" s="17" t="n"/>
      <c r="L59" s="17" t="n"/>
      <c r="M59" s="15" t="inlineStr">
        <is>
          <t>PIS:</t>
        </is>
      </c>
      <c r="N59" s="83">
        <f>IF($T$35&gt;215.04,$T$35*R59,0)</f>
        <v/>
      </c>
      <c r="O59" s="122" t="n"/>
      <c r="P59" s="122" t="n"/>
      <c r="Q59" s="16" t="inlineStr">
        <is>
          <t xml:space="preserve">Alíquota: </t>
        </is>
      </c>
      <c r="R59" s="78" t="n"/>
      <c r="S59" s="123" t="n"/>
      <c r="T59" s="123" t="n"/>
      <c r="U59" s="18" t="n"/>
    </row>
    <row r="60" ht="25" customHeight="1">
      <c r="B60" s="19" t="n"/>
      <c r="C60" s="82" t="inlineStr">
        <is>
          <t>ISS:</t>
        </is>
      </c>
      <c r="D60" s="86">
        <f>$T$35*H60</f>
        <v/>
      </c>
      <c r="E60" s="107" t="n"/>
      <c r="F60" s="107" t="n"/>
      <c r="G60" s="20" t="inlineStr">
        <is>
          <t xml:space="preserve">Alíquota: </t>
        </is>
      </c>
      <c r="H60" s="79" t="n"/>
      <c r="I60" s="124" t="n"/>
      <c r="J60" s="124" t="n"/>
      <c r="M60" s="82" t="inlineStr">
        <is>
          <t>COFINS:</t>
        </is>
      </c>
      <c r="N60" s="84">
        <f>IF($T$35&gt;215.04,$T$35*R60,0)</f>
        <v/>
      </c>
      <c r="O60" s="107" t="n"/>
      <c r="P60" s="107" t="n"/>
      <c r="Q60" s="20" t="inlineStr">
        <is>
          <t xml:space="preserve">Alíquota: </t>
        </is>
      </c>
      <c r="R60" s="79" t="n"/>
      <c r="S60" s="124" t="n"/>
      <c r="T60" s="124" t="n"/>
      <c r="U60" s="21" t="n"/>
    </row>
    <row r="61" ht="25" customHeight="1">
      <c r="B61" s="22" t="n"/>
      <c r="C61" s="103" t="inlineStr">
        <is>
          <t>IRRF:</t>
        </is>
      </c>
      <c r="D61" s="87">
        <f>$T$35*H61</f>
        <v/>
      </c>
      <c r="E61" s="119" t="n"/>
      <c r="F61" s="119" t="n"/>
      <c r="G61" s="23" t="inlineStr">
        <is>
          <t xml:space="preserve">Alíquota: </t>
        </is>
      </c>
      <c r="H61" s="80" t="n"/>
      <c r="I61" s="118" t="n"/>
      <c r="J61" s="118" t="n"/>
      <c r="K61" s="12" t="n"/>
      <c r="L61" s="12" t="n"/>
      <c r="M61" s="103" t="inlineStr">
        <is>
          <t>CSLL:</t>
        </is>
      </c>
      <c r="N61" s="85">
        <f>IF($T$35&gt;215.04,$T$35*R61,0)</f>
        <v/>
      </c>
      <c r="O61" s="119" t="n"/>
      <c r="P61" s="119" t="n"/>
      <c r="Q61" s="23" t="inlineStr">
        <is>
          <t xml:space="preserve">Alíquota: </t>
        </is>
      </c>
      <c r="R61" s="80" t="n"/>
      <c r="S61" s="118" t="n"/>
      <c r="T61" s="118" t="n"/>
      <c r="U61" s="13" t="n"/>
    </row>
    <row r="62" ht="12.65" customHeight="1"/>
    <row r="63" ht="25" customHeight="1">
      <c r="B63" s="42" t="inlineStr">
        <is>
          <t>OBSERVAÇÕES</t>
        </is>
      </c>
      <c r="C63" s="111" t="n"/>
      <c r="D63" s="111" t="n"/>
      <c r="E63" s="111" t="n"/>
      <c r="F63" s="111" t="n"/>
      <c r="G63" s="111" t="n"/>
      <c r="H63" s="111" t="n"/>
      <c r="I63" s="111" t="n"/>
      <c r="J63" s="111" t="n"/>
      <c r="K63" s="111" t="n"/>
      <c r="L63" s="111" t="n"/>
      <c r="M63" s="111" t="n"/>
      <c r="N63" s="111" t="n"/>
      <c r="O63" s="111" t="n"/>
      <c r="P63" s="111" t="n"/>
      <c r="Q63" s="111" t="n"/>
      <c r="R63" s="111" t="n"/>
      <c r="S63" s="111" t="n"/>
      <c r="T63" s="111" t="n"/>
      <c r="U63" s="108" t="n"/>
    </row>
    <row r="64" ht="25" customHeight="1">
      <c r="B64" s="125" t="n"/>
      <c r="C64" s="124" t="n"/>
      <c r="D64" s="124" t="n"/>
      <c r="E64" s="124" t="n"/>
      <c r="F64" s="124" t="n"/>
      <c r="G64" s="124" t="n"/>
      <c r="H64" s="124" t="n"/>
      <c r="I64" s="124" t="n"/>
      <c r="J64" s="124" t="n"/>
      <c r="K64" s="124" t="n"/>
      <c r="L64" s="124" t="n"/>
      <c r="M64" s="124" t="n"/>
      <c r="N64" s="124" t="n"/>
      <c r="O64" s="124" t="n"/>
      <c r="P64" s="124" t="n"/>
      <c r="Q64" s="124" t="n"/>
      <c r="R64" s="124" t="n"/>
      <c r="S64" s="124" t="n"/>
      <c r="T64" s="124" t="n"/>
      <c r="U64" s="126" t="n"/>
    </row>
    <row r="65" ht="25" customHeight="1">
      <c r="B65" s="127" t="n"/>
      <c r="C65" s="124" t="n"/>
      <c r="D65" s="124" t="n"/>
      <c r="E65" s="124" t="n"/>
      <c r="F65" s="124" t="n"/>
      <c r="G65" s="124" t="n"/>
      <c r="H65" s="124" t="n"/>
      <c r="I65" s="124" t="n"/>
      <c r="J65" s="124" t="n"/>
      <c r="K65" s="124" t="n"/>
      <c r="L65" s="124" t="n"/>
      <c r="M65" s="124" t="n"/>
      <c r="N65" s="124" t="n"/>
      <c r="O65" s="124" t="n"/>
      <c r="P65" s="124" t="n"/>
      <c r="Q65" s="124" t="n"/>
      <c r="R65" s="124" t="n"/>
      <c r="S65" s="124" t="n"/>
      <c r="T65" s="124" t="n"/>
      <c r="U65" s="126" t="n"/>
    </row>
    <row r="66" ht="25" customHeight="1">
      <c r="B66" s="127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  <c r="P66" s="124" t="n"/>
      <c r="Q66" s="124" t="n"/>
      <c r="R66" s="124" t="n"/>
      <c r="S66" s="124" t="n"/>
      <c r="T66" s="124" t="n"/>
      <c r="U66" s="126" t="n"/>
    </row>
    <row r="67" ht="25" customHeight="1">
      <c r="B67" s="127" t="n"/>
      <c r="C67" s="124" t="n"/>
      <c r="D67" s="124" t="n"/>
      <c r="E67" s="124" t="n"/>
      <c r="F67" s="124" t="n"/>
      <c r="G67" s="124" t="n"/>
      <c r="H67" s="124" t="n"/>
      <c r="I67" s="124" t="n"/>
      <c r="J67" s="124" t="n"/>
      <c r="K67" s="124" t="n"/>
      <c r="L67" s="124" t="n"/>
      <c r="M67" s="124" t="n"/>
      <c r="N67" s="124" t="n"/>
      <c r="O67" s="124" t="n"/>
      <c r="P67" s="124" t="n"/>
      <c r="Q67" s="124" t="n"/>
      <c r="R67" s="124" t="n"/>
      <c r="S67" s="124" t="n"/>
      <c r="T67" s="124" t="n"/>
      <c r="U67" s="126" t="n"/>
    </row>
    <row r="68" ht="25" customHeight="1">
      <c r="B68" s="127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6" t="n"/>
    </row>
    <row r="69" ht="25" customHeight="1">
      <c r="B69" s="128" t="n"/>
      <c r="C69" s="118" t="n"/>
      <c r="D69" s="118" t="n"/>
      <c r="E69" s="118" t="n"/>
      <c r="F69" s="118" t="n"/>
      <c r="G69" s="118" t="n"/>
      <c r="H69" s="118" t="n"/>
      <c r="I69" s="118" t="n"/>
      <c r="J69" s="118" t="n"/>
      <c r="K69" s="118" t="n"/>
      <c r="L69" s="118" t="n"/>
      <c r="M69" s="118" t="n"/>
      <c r="N69" s="118" t="n"/>
      <c r="O69" s="118" t="n"/>
      <c r="P69" s="118" t="n"/>
      <c r="Q69" s="118" t="n"/>
      <c r="R69" s="118" t="n"/>
      <c r="S69" s="118" t="n"/>
      <c r="T69" s="118" t="n"/>
      <c r="U69" s="121" t="n"/>
    </row>
    <row r="70" ht="12.65" customHeight="1"/>
    <row r="71" ht="25" customHeight="1">
      <c r="B71" s="42" t="inlineStr">
        <is>
          <t>ASSINATURAS E APROVAÇÕES</t>
        </is>
      </c>
      <c r="C71" s="111" t="n"/>
      <c r="D71" s="111" t="n"/>
      <c r="E71" s="111" t="n"/>
      <c r="F71" s="111" t="n"/>
      <c r="G71" s="111" t="n"/>
      <c r="H71" s="111" t="n"/>
      <c r="I71" s="111" t="n"/>
      <c r="J71" s="111" t="n"/>
      <c r="K71" s="111" t="n"/>
      <c r="L71" s="111" t="n"/>
      <c r="M71" s="111" t="n"/>
      <c r="N71" s="111" t="n"/>
      <c r="O71" s="111" t="n"/>
      <c r="P71" s="111" t="n"/>
      <c r="Q71" s="111" t="n"/>
      <c r="R71" s="111" t="n"/>
      <c r="S71" s="111" t="n"/>
      <c r="T71" s="111" t="n"/>
      <c r="U71" s="108" t="n"/>
    </row>
    <row r="72" ht="50.15" customHeight="1">
      <c r="B72" s="129" t="n"/>
      <c r="C72" s="123" t="n"/>
      <c r="D72" s="123" t="n"/>
      <c r="E72" s="123" t="n"/>
      <c r="F72" s="123" t="n"/>
      <c r="G72" s="130" t="n"/>
      <c r="H72" s="129" t="n"/>
      <c r="I72" s="123" t="n"/>
      <c r="J72" s="123" t="n"/>
      <c r="K72" s="123" t="n"/>
      <c r="L72" s="123" t="n"/>
      <c r="M72" s="123" t="n"/>
      <c r="N72" s="130" t="n"/>
      <c r="O72" s="129" t="n"/>
      <c r="P72" s="123" t="n"/>
      <c r="Q72" s="123" t="n"/>
      <c r="R72" s="123" t="n"/>
      <c r="S72" s="123" t="n"/>
      <c r="T72" s="123" t="n"/>
      <c r="U72" s="130" t="n"/>
    </row>
    <row r="73" ht="25" customHeight="1">
      <c r="B73" s="131" t="inlineStr">
        <is>
          <t>SOLICITANTE</t>
        </is>
      </c>
      <c r="C73" s="119" t="n"/>
      <c r="D73" s="119" t="n"/>
      <c r="E73" s="119" t="n"/>
      <c r="F73" s="119" t="n"/>
      <c r="G73" s="120" t="n"/>
      <c r="H73" s="131" t="inlineStr">
        <is>
          <t>APROVADOR/GESTOR</t>
        </is>
      </c>
      <c r="I73" s="119" t="n"/>
      <c r="J73" s="119" t="n"/>
      <c r="K73" s="119" t="n"/>
      <c r="L73" s="119" t="n"/>
      <c r="M73" s="119" t="n"/>
      <c r="N73" s="120" t="n"/>
      <c r="O73" s="131" t="inlineStr">
        <is>
          <t>PACOTEIRO</t>
        </is>
      </c>
      <c r="P73" s="119" t="n"/>
      <c r="Q73" s="119" t="n"/>
      <c r="R73" s="119" t="n"/>
      <c r="S73" s="119" t="n"/>
      <c r="T73" s="119" t="n"/>
      <c r="U73" s="120" t="n"/>
    </row>
    <row r="74" ht="12.65" customHeight="1"/>
    <row r="75" ht="25" customHeight="1">
      <c r="U75" s="27" t="inlineStr">
        <is>
          <t>FORMULÁRIO FI - VERSÃO 1.1 - REVISÃO 28/07/2025</t>
        </is>
      </c>
    </row>
    <row r="76" ht="12.65" customHeight="1"/>
  </sheetData>
  <mergeCells count="227">
    <mergeCell ref="R3:U3"/>
    <mergeCell ref="D18:G18"/>
    <mergeCell ref="H27:K27"/>
    <mergeCell ref="L31:R31"/>
    <mergeCell ref="T49:U49"/>
    <mergeCell ref="B22:C22"/>
    <mergeCell ref="B73:G73"/>
    <mergeCell ref="B53:D53"/>
    <mergeCell ref="B31:C31"/>
    <mergeCell ref="L21:R21"/>
    <mergeCell ref="H24:K24"/>
    <mergeCell ref="H33:K33"/>
    <mergeCell ref="H42:K42"/>
    <mergeCell ref="T42:U42"/>
    <mergeCell ref="E53:K53"/>
    <mergeCell ref="B21:C21"/>
    <mergeCell ref="H26:K26"/>
    <mergeCell ref="L41:Q41"/>
    <mergeCell ref="B11:F11"/>
    <mergeCell ref="D20:G20"/>
    <mergeCell ref="N60:P60"/>
    <mergeCell ref="T44:U44"/>
    <mergeCell ref="B14:C14"/>
    <mergeCell ref="E55:K55"/>
    <mergeCell ref="L16:R16"/>
    <mergeCell ref="D22:G22"/>
    <mergeCell ref="B38:C38"/>
    <mergeCell ref="D31:G31"/>
    <mergeCell ref="D45:G45"/>
    <mergeCell ref="B13:U13"/>
    <mergeCell ref="H39:K39"/>
    <mergeCell ref="N3:Q3"/>
    <mergeCell ref="D21:G21"/>
    <mergeCell ref="B40:C40"/>
    <mergeCell ref="R6:U6"/>
    <mergeCell ref="T41:U41"/>
    <mergeCell ref="B54:D54"/>
    <mergeCell ref="I6:Q6"/>
    <mergeCell ref="B24:C24"/>
    <mergeCell ref="B33:C33"/>
    <mergeCell ref="T43:U43"/>
    <mergeCell ref="L30:R30"/>
    <mergeCell ref="B56:D56"/>
    <mergeCell ref="B32:C32"/>
    <mergeCell ref="B51:U51"/>
    <mergeCell ref="H45:K45"/>
    <mergeCell ref="L20:R20"/>
    <mergeCell ref="T27:U27"/>
    <mergeCell ref="B26:C26"/>
    <mergeCell ref="B41:C41"/>
    <mergeCell ref="S11:U11"/>
    <mergeCell ref="B63:U63"/>
    <mergeCell ref="B16:C16"/>
    <mergeCell ref="H60:J60"/>
    <mergeCell ref="P47:S47"/>
    <mergeCell ref="B25:C25"/>
    <mergeCell ref="T24:U24"/>
    <mergeCell ref="T33:U33"/>
    <mergeCell ref="L22:R22"/>
    <mergeCell ref="D24:G24"/>
    <mergeCell ref="D33:G33"/>
    <mergeCell ref="B18:C18"/>
    <mergeCell ref="D42:G42"/>
    <mergeCell ref="O73:U73"/>
    <mergeCell ref="B27:C27"/>
    <mergeCell ref="H15:K15"/>
    <mergeCell ref="T35:U35"/>
    <mergeCell ref="L38:Q38"/>
    <mergeCell ref="H23:K23"/>
    <mergeCell ref="H18:K18"/>
    <mergeCell ref="D26:G26"/>
    <mergeCell ref="G7:H7"/>
    <mergeCell ref="T25:U25"/>
    <mergeCell ref="D44:G44"/>
    <mergeCell ref="N59:P59"/>
    <mergeCell ref="P35:S35"/>
    <mergeCell ref="L40:Q40"/>
    <mergeCell ref="D19:G19"/>
    <mergeCell ref="D34:G34"/>
    <mergeCell ref="L32:R32"/>
    <mergeCell ref="H41:K41"/>
    <mergeCell ref="L52:N52"/>
    <mergeCell ref="E52:K52"/>
    <mergeCell ref="B29:C29"/>
    <mergeCell ref="B10:F10"/>
    <mergeCell ref="H34:K34"/>
    <mergeCell ref="H25:K25"/>
    <mergeCell ref="R61:T61"/>
    <mergeCell ref="D60:F60"/>
    <mergeCell ref="H73:N73"/>
    <mergeCell ref="I7:L7"/>
    <mergeCell ref="L15:R15"/>
    <mergeCell ref="T22:U22"/>
    <mergeCell ref="L24:R24"/>
    <mergeCell ref="T31:U31"/>
    <mergeCell ref="L18:R18"/>
    <mergeCell ref="L33:R33"/>
    <mergeCell ref="B15:C15"/>
    <mergeCell ref="G11:O11"/>
    <mergeCell ref="H17:K17"/>
    <mergeCell ref="L26:R26"/>
    <mergeCell ref="H59:J59"/>
    <mergeCell ref="H19:K19"/>
    <mergeCell ref="L25:R25"/>
    <mergeCell ref="H28:K28"/>
    <mergeCell ref="O52:U52"/>
    <mergeCell ref="T15:U15"/>
    <mergeCell ref="D39:G39"/>
    <mergeCell ref="T29:U29"/>
    <mergeCell ref="L34:R34"/>
    <mergeCell ref="T38:U38"/>
    <mergeCell ref="H61:J61"/>
    <mergeCell ref="D15:G15"/>
    <mergeCell ref="E54:K54"/>
    <mergeCell ref="L55:N55"/>
    <mergeCell ref="D29:G29"/>
    <mergeCell ref="L45:Q45"/>
    <mergeCell ref="L39:Q39"/>
    <mergeCell ref="D38:G38"/>
    <mergeCell ref="B43:C43"/>
    <mergeCell ref="H14:K14"/>
    <mergeCell ref="B71:U71"/>
    <mergeCell ref="L54:N54"/>
    <mergeCell ref="E56:K56"/>
    <mergeCell ref="B58:U58"/>
    <mergeCell ref="B42:C42"/>
    <mergeCell ref="L44:Q44"/>
    <mergeCell ref="H38:K38"/>
    <mergeCell ref="B2:U2"/>
    <mergeCell ref="B17:C17"/>
    <mergeCell ref="H43:K43"/>
    <mergeCell ref="L56:N56"/>
    <mergeCell ref="N7:Q7"/>
    <mergeCell ref="L28:R28"/>
    <mergeCell ref="L46:Q46"/>
    <mergeCell ref="B44:C44"/>
    <mergeCell ref="H40:K40"/>
    <mergeCell ref="T40:U40"/>
    <mergeCell ref="B19:C19"/>
    <mergeCell ref="B34:C34"/>
    <mergeCell ref="B64:U69"/>
    <mergeCell ref="B28:C28"/>
    <mergeCell ref="D59:F59"/>
    <mergeCell ref="D27:G27"/>
    <mergeCell ref="T17:U17"/>
    <mergeCell ref="B37:U37"/>
    <mergeCell ref="B72:G72"/>
    <mergeCell ref="P49:S49"/>
    <mergeCell ref="B30:C30"/>
    <mergeCell ref="D17:G17"/>
    <mergeCell ref="L23:R23"/>
    <mergeCell ref="R59:T59"/>
    <mergeCell ref="B20:C20"/>
    <mergeCell ref="T19:U19"/>
    <mergeCell ref="B45:C45"/>
    <mergeCell ref="T46:U46"/>
    <mergeCell ref="L53:N53"/>
    <mergeCell ref="T28:U28"/>
    <mergeCell ref="T34:U34"/>
    <mergeCell ref="H16:K16"/>
    <mergeCell ref="L43:Q43"/>
    <mergeCell ref="D28:G28"/>
    <mergeCell ref="T39:U39"/>
    <mergeCell ref="H22:K22"/>
    <mergeCell ref="S7:U7"/>
    <mergeCell ref="P11:R11"/>
    <mergeCell ref="G10:O10"/>
    <mergeCell ref="T30:U30"/>
    <mergeCell ref="L42:Q42"/>
    <mergeCell ref="D61:F61"/>
    <mergeCell ref="D25:G25"/>
    <mergeCell ref="T20:U20"/>
    <mergeCell ref="B46:C46"/>
    <mergeCell ref="D30:G30"/>
    <mergeCell ref="N61:P61"/>
    <mergeCell ref="T45:U45"/>
    <mergeCell ref="T32:U32"/>
    <mergeCell ref="T14:U14"/>
    <mergeCell ref="D14:G14"/>
    <mergeCell ref="T47:U47"/>
    <mergeCell ref="O72:U72"/>
    <mergeCell ref="B39:C39"/>
    <mergeCell ref="S10:U10"/>
    <mergeCell ref="L27:R27"/>
    <mergeCell ref="O55:Q55"/>
    <mergeCell ref="R5:U5"/>
    <mergeCell ref="D23:G23"/>
    <mergeCell ref="H30:K30"/>
    <mergeCell ref="I5:Q5"/>
    <mergeCell ref="B23:C23"/>
    <mergeCell ref="L17:R17"/>
    <mergeCell ref="H20:K20"/>
    <mergeCell ref="H29:K29"/>
    <mergeCell ref="G6:H6"/>
    <mergeCell ref="O53:U53"/>
    <mergeCell ref="B55:D55"/>
    <mergeCell ref="G3:H3"/>
    <mergeCell ref="D46:G46"/>
    <mergeCell ref="I4:Q4"/>
    <mergeCell ref="T21:U21"/>
    <mergeCell ref="D40:G40"/>
    <mergeCell ref="H44:K44"/>
    <mergeCell ref="L19:R19"/>
    <mergeCell ref="T26:U26"/>
    <mergeCell ref="R4:U4"/>
    <mergeCell ref="H31:K31"/>
    <mergeCell ref="G5:H5"/>
    <mergeCell ref="T23:U23"/>
    <mergeCell ref="H46:K46"/>
    <mergeCell ref="H21:K21"/>
    <mergeCell ref="D32:G32"/>
    <mergeCell ref="O54:U54"/>
    <mergeCell ref="G4:H4"/>
    <mergeCell ref="R60:T60"/>
    <mergeCell ref="D41:G41"/>
    <mergeCell ref="T16:U16"/>
    <mergeCell ref="P10:R10"/>
    <mergeCell ref="B9:U9"/>
    <mergeCell ref="I3:L3"/>
    <mergeCell ref="L14:R14"/>
    <mergeCell ref="D16:G16"/>
    <mergeCell ref="B52:D52"/>
    <mergeCell ref="L29:R29"/>
    <mergeCell ref="D43:G43"/>
    <mergeCell ref="T18:U18"/>
    <mergeCell ref="H32:K32"/>
    <mergeCell ref="H72:N72"/>
  </mergeCells>
  <conditionalFormatting sqref="B2:U2">
    <cfRule type="notContainsBlanks" priority="1" dxfId="0">
      <formula>LEN(TRIM(B2))&gt;0</formula>
    </cfRule>
  </conditionalFormatting>
  <dataValidations count="4">
    <dataValidation sqref="N7:Q7" showDropDown="0" showInputMessage="1" showErrorMessage="1" allowBlank="0" type="list">
      <formula1>LISTA_TIPO_FORMULARIO</formula1>
    </dataValidation>
    <dataValidation sqref="S7:U7" showDropDown="0" showInputMessage="1" showErrorMessage="1" allowBlank="0" type="list">
      <formula1>INDIRECT(Y3)</formula1>
    </dataValidation>
    <dataValidation sqref="I3:L3" showDropDown="0" showInputMessage="1" showErrorMessage="1" allowBlank="0" type="list">
      <formula1>LISTA_EMPRESAS</formula1>
    </dataValidation>
    <dataValidation sqref="D15:G34 D39:G46" showDropDown="0" showInputMessage="1" showErrorMessage="1" allowBlank="0" type="list">
      <formula1>INDIRECT($Y$4)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portrait" paperSize="9" scale="4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B2:AG208"/>
  <sheetViews>
    <sheetView showGridLines="0" topLeftCell="B1" zoomScale="85" zoomScaleNormal="85" workbookViewId="0">
      <selection activeCell="F4" sqref="F4"/>
    </sheetView>
  </sheetViews>
  <sheetFormatPr baseColWidth="8" defaultColWidth="2.7265625" defaultRowHeight="14.5"/>
  <cols>
    <col width="2.7265625" customWidth="1" style="28" min="1" max="1"/>
    <col width="25.26953125" bestFit="1" customWidth="1" style="28" min="2" max="2"/>
    <col width="18" bestFit="1" customWidth="1" style="28" min="3" max="3"/>
    <col width="77.453125" bestFit="1" customWidth="1" style="28" min="4" max="4"/>
    <col width="2.7265625" customWidth="1" style="28" min="5" max="5"/>
    <col width="26.7265625" bestFit="1" customWidth="1" style="28" min="6" max="6"/>
    <col width="22.81640625" bestFit="1" customWidth="1" style="28" min="7" max="7"/>
    <col width="18.54296875" bestFit="1" customWidth="1" style="28" min="8" max="8"/>
    <col width="2.7265625" customWidth="1" style="28" min="9" max="9"/>
    <col width="24.1796875" bestFit="1" customWidth="1" style="28" min="10" max="10"/>
    <col width="27.26953125" bestFit="1" customWidth="1" style="28" min="11" max="11"/>
    <col width="27.7265625" bestFit="1" customWidth="1" style="28" min="12" max="12"/>
    <col width="35.453125" bestFit="1" customWidth="1" style="28" min="13" max="13"/>
    <col width="35.453125" customWidth="1" style="28" min="14" max="14"/>
    <col width="2.7265625" customWidth="1" style="28" min="15" max="15"/>
    <col width="52.81640625" bestFit="1" customWidth="1" style="28" min="16" max="16"/>
    <col width="65.81640625" bestFit="1" customWidth="1" style="28" min="17" max="17"/>
    <col width="73.54296875" bestFit="1" customWidth="1" style="28" min="18" max="18"/>
    <col width="2.7265625" customWidth="1" style="28" min="19" max="19"/>
    <col width="19" bestFit="1" customWidth="1" style="28" min="20" max="20"/>
    <col width="2.7265625" customWidth="1" style="28" min="21" max="21"/>
    <col width="22.7265625" bestFit="1" customWidth="1" style="28" min="22" max="22"/>
    <col width="2.7265625" customWidth="1" style="28" min="23" max="23"/>
    <col width="19.81640625" bestFit="1" customWidth="1" style="28" min="24" max="24"/>
    <col width="2.7265625" customWidth="1" style="28" min="25" max="25"/>
    <col width="7.1796875" bestFit="1" customWidth="1" style="28" min="26" max="26"/>
    <col width="6.1796875" bestFit="1" customWidth="1" style="28" min="27" max="29"/>
    <col width="8" bestFit="1" customWidth="1" style="28" min="30" max="30"/>
    <col width="6.1796875" bestFit="1" customWidth="1" style="28" min="31" max="31"/>
    <col width="2.7265625" customWidth="1" style="28" min="32" max="32"/>
    <col width="19.81640625" bestFit="1" customWidth="1" style="28" min="33" max="33"/>
    <col width="2.7265625" customWidth="1" style="28" min="34" max="16384"/>
  </cols>
  <sheetData>
    <row r="2">
      <c r="B2" s="104" t="inlineStr">
        <is>
          <t>EMPRESAS</t>
        </is>
      </c>
      <c r="C2" s="132" t="n"/>
      <c r="D2" s="132" t="n"/>
      <c r="F2" s="106" t="inlineStr">
        <is>
          <t>TIPOS DE FORMULÁRIOS</t>
        </is>
      </c>
      <c r="G2" s="107" t="n"/>
      <c r="H2" s="107" t="n"/>
      <c r="J2" s="106" t="inlineStr">
        <is>
          <t>ESTRATÉGIAS DE APROVAÇÃO</t>
        </is>
      </c>
      <c r="K2" s="107" t="n"/>
      <c r="L2" s="107" t="n"/>
      <c r="M2" s="107" t="n"/>
      <c r="N2" s="106" t="n"/>
      <c r="P2" s="106" t="inlineStr">
        <is>
          <t>CONTAS CONTÁBEIS</t>
        </is>
      </c>
      <c r="Q2" s="107" t="n"/>
      <c r="R2" s="107" t="n"/>
      <c r="T2" s="105" t="inlineStr">
        <is>
          <t>HIERÁRQUIA</t>
        </is>
      </c>
      <c r="V2" s="105" t="inlineStr">
        <is>
          <t>FORMA DE PAGAMENTO</t>
        </is>
      </c>
      <c r="X2" s="105" t="inlineStr">
        <is>
          <t>PGTO ATRAVÉS</t>
        </is>
      </c>
      <c r="Z2" s="105" t="inlineStr">
        <is>
          <t>ALÍQUOTA DE IMPOSTOS</t>
        </is>
      </c>
      <c r="AA2" s="133" t="n"/>
      <c r="AB2" s="133" t="n"/>
      <c r="AC2" s="133" t="n"/>
      <c r="AD2" s="133" t="n"/>
      <c r="AE2" s="133" t="n"/>
      <c r="AG2" s="105" t="inlineStr">
        <is>
          <t>TIPO CONTA</t>
        </is>
      </c>
    </row>
    <row r="3">
      <c r="B3" s="30" t="inlineStr">
        <is>
          <t>EMPRESA</t>
        </is>
      </c>
      <c r="C3" s="30" t="inlineStr">
        <is>
          <t>CNPJ</t>
        </is>
      </c>
      <c r="D3" s="30" t="inlineStr">
        <is>
          <t>ENDEREÇO</t>
        </is>
      </c>
      <c r="F3" s="30" t="inlineStr">
        <is>
          <t>LISTA</t>
        </is>
      </c>
      <c r="G3" s="30" t="inlineStr">
        <is>
          <t>ID_ESTRATEGIA</t>
        </is>
      </c>
      <c r="H3" s="30" t="inlineStr">
        <is>
          <t>ID_CONTA</t>
        </is>
      </c>
      <c r="J3" s="30">
        <f>F4</f>
        <v/>
      </c>
      <c r="K3" s="30">
        <f>F5</f>
        <v/>
      </c>
      <c r="L3" s="30">
        <f>F6</f>
        <v/>
      </c>
      <c r="M3" s="30">
        <f>F7</f>
        <v/>
      </c>
      <c r="N3" s="30">
        <f>F8</f>
        <v/>
      </c>
      <c r="P3" s="30">
        <f>J3</f>
        <v/>
      </c>
      <c r="Q3" s="30">
        <f>K3</f>
        <v/>
      </c>
      <c r="R3" s="30">
        <f>L3</f>
        <v/>
      </c>
      <c r="T3" s="30" t="inlineStr">
        <is>
          <t>LISTA</t>
        </is>
      </c>
      <c r="V3" s="30" t="inlineStr">
        <is>
          <t>LISTA</t>
        </is>
      </c>
      <c r="X3" s="30" t="inlineStr">
        <is>
          <t>LISTA</t>
        </is>
      </c>
      <c r="Z3" s="30" t="inlineStr">
        <is>
          <t>INSS</t>
        </is>
      </c>
      <c r="AA3" s="30" t="inlineStr">
        <is>
          <t>ISS</t>
        </is>
      </c>
      <c r="AB3" s="30" t="inlineStr">
        <is>
          <t>IRRF</t>
        </is>
      </c>
      <c r="AC3" s="30" t="inlineStr">
        <is>
          <t>PIS</t>
        </is>
      </c>
      <c r="AD3" s="30" t="inlineStr">
        <is>
          <t>COFINS</t>
        </is>
      </c>
      <c r="AE3" s="30" t="inlineStr">
        <is>
          <t>CSLL</t>
        </is>
      </c>
      <c r="AG3" s="30" t="inlineStr">
        <is>
          <t>LISTA</t>
        </is>
      </c>
    </row>
    <row r="4">
      <c r="B4" s="31" t="inlineStr">
        <is>
          <t>VIA APPIA S.A.</t>
        </is>
      </c>
      <c r="C4" s="31" t="inlineStr">
        <is>
          <t>52.538.988/0001-40</t>
        </is>
      </c>
      <c r="D4" s="31" t="inlineStr">
        <is>
          <t>Avenida Brig. Faria Lima, 3311 - 1º Andar - Conj 11 - Sala 6 - Itaim Bibi - CEP 04538-133</t>
        </is>
      </c>
      <c r="F4" s="31" t="inlineStr">
        <is>
          <t>REEMBOLSO DE VIAGENS</t>
        </is>
      </c>
      <c r="G4" s="32" t="inlineStr">
        <is>
          <t>ESTRATEGIA_VIAGENS</t>
        </is>
      </c>
      <c r="H4" s="32" t="inlineStr">
        <is>
          <t>CONTA_VIAGENS</t>
        </is>
      </c>
      <c r="J4" s="31" t="inlineStr">
        <is>
          <t>ADMINISTRATIVO</t>
        </is>
      </c>
      <c r="K4" s="31" t="inlineStr">
        <is>
          <t>ADMINISTRATIVO</t>
        </is>
      </c>
      <c r="L4" s="31" t="inlineStr">
        <is>
          <t>ADMINISTRATIVO</t>
        </is>
      </c>
      <c r="M4" s="31" t="inlineStr">
        <is>
          <t>REMUNERAÇÃO E BENEFÍCIOS</t>
        </is>
      </c>
      <c r="N4" s="31" t="inlineStr">
        <is>
          <t>JURÍDICO</t>
        </is>
      </c>
      <c r="P4" s="31" t="inlineStr">
        <is>
          <t>4110403002 - CONDUÇÃO, ESTACIONAMENTO E PEDÁGIO</t>
        </is>
      </c>
      <c r="Q4" s="31" t="inlineStr">
        <is>
          <t>4110103013 - BOLSAS DE ESTUDO</t>
        </is>
      </c>
      <c r="R4" s="31" t="inlineStr">
        <is>
          <t>4110101001 - SALÁRIOS</t>
        </is>
      </c>
      <c r="T4" s="31" t="inlineStr">
        <is>
          <t>CEO / CFO</t>
        </is>
      </c>
      <c r="V4" s="31" t="inlineStr">
        <is>
          <t>CARTÃO EMPRESA</t>
        </is>
      </c>
      <c r="X4" s="31" t="inlineStr">
        <is>
          <t>BOLETO</t>
        </is>
      </c>
      <c r="Z4" s="33" t="n">
        <v>0</v>
      </c>
      <c r="AA4" s="33" t="n">
        <v>0</v>
      </c>
      <c r="AB4" s="33" t="n">
        <v>0</v>
      </c>
      <c r="AC4" s="33" t="n">
        <v>0</v>
      </c>
      <c r="AD4" s="33" t="n">
        <v>0</v>
      </c>
      <c r="AE4" s="33" t="n">
        <v>0</v>
      </c>
      <c r="AG4" s="31" t="inlineStr">
        <is>
          <t>CORRENTE</t>
        </is>
      </c>
    </row>
    <row r="5">
      <c r="B5" s="31" t="inlineStr">
        <is>
          <t>VIA COLINAS</t>
        </is>
      </c>
      <c r="C5" s="31" t="inlineStr">
        <is>
          <t>03.025.305/0001-46</t>
        </is>
      </c>
      <c r="D5" s="31" t="inlineStr">
        <is>
          <t>Avenida Plaza, 6 - Jardim Plaza - 1° andar - Itu-SP - CEP: 13302-100</t>
        </is>
      </c>
      <c r="F5" s="31" t="inlineStr">
        <is>
          <t>REEMBOLSO DE BENEFICIOS</t>
        </is>
      </c>
      <c r="G5" s="32" t="inlineStr">
        <is>
          <t>ESTRATEGIA_BENEFICIOS</t>
        </is>
      </c>
      <c r="H5" s="32" t="inlineStr">
        <is>
          <t>CONTA_BENEFICIOS</t>
        </is>
      </c>
      <c r="J5" s="34" t="n"/>
      <c r="K5" s="34" t="n"/>
      <c r="L5" s="31" t="inlineStr">
        <is>
          <t>ALMOXARIFADO</t>
        </is>
      </c>
      <c r="M5" s="34" t="n"/>
      <c r="N5" s="34" t="n"/>
      <c r="P5" s="31" t="inlineStr">
        <is>
          <t>4110403027 - ESTADIA E HOTÉIS</t>
        </is>
      </c>
      <c r="Q5" s="31" t="inlineStr">
        <is>
          <t>4110103018 - VEÍCULOS DE BENEFÍCIOS - ALUGUEL</t>
        </is>
      </c>
      <c r="R5" s="31" t="inlineStr">
        <is>
          <t>4110101002 - HORAS EXTRAS</t>
        </is>
      </c>
      <c r="T5" s="31" t="inlineStr">
        <is>
          <t>DIRETOR EXECUTIVO</t>
        </is>
      </c>
      <c r="V5" s="31" t="inlineStr">
        <is>
          <t>PRÓPRIO</t>
        </is>
      </c>
      <c r="X5" s="31" t="inlineStr">
        <is>
          <t>DÉBITO AUTOMÁTICO</t>
        </is>
      </c>
      <c r="Z5" s="33" t="n">
        <v>0.11</v>
      </c>
      <c r="AA5" s="33" t="n">
        <v>0.02</v>
      </c>
      <c r="AB5" s="33" t="n">
        <v>0.01</v>
      </c>
      <c r="AC5" s="33" t="n">
        <v>0.0065</v>
      </c>
      <c r="AD5" s="33" t="n">
        <v>0.03</v>
      </c>
      <c r="AE5" s="33" t="n">
        <v>0.01</v>
      </c>
      <c r="AG5" s="31" t="inlineStr">
        <is>
          <t>CARTÃO DE CRÉDITO</t>
        </is>
      </c>
    </row>
    <row r="6">
      <c r="B6" s="31" t="inlineStr">
        <is>
          <t>VIA NASCENTES</t>
        </is>
      </c>
      <c r="C6" s="31" t="inlineStr">
        <is>
          <t>08.822.767/0001-08</t>
        </is>
      </c>
      <c r="D6" s="31" t="inlineStr">
        <is>
          <t>Avenida Joaquim André,361 - Santa Clara - Divinópolis-MG - CEP: 35500-712</t>
        </is>
      </c>
      <c r="F6" s="31" t="inlineStr">
        <is>
          <t>ENTRADAS FI (PAGAMENTOS)</t>
        </is>
      </c>
      <c r="G6" s="32" t="inlineStr">
        <is>
          <t>ESTRATEGIA_FI</t>
        </is>
      </c>
      <c r="H6" s="32" t="inlineStr">
        <is>
          <t>CONTA_FI</t>
        </is>
      </c>
      <c r="L6" s="31" t="inlineStr">
        <is>
          <t>COMUNICAÇÕES</t>
        </is>
      </c>
      <c r="P6" s="31" t="inlineStr">
        <is>
          <t>4110403032 - ALIMENTAÇÃO EM VIAGENS</t>
        </is>
      </c>
      <c r="Q6" s="31" t="inlineStr">
        <is>
          <t>4110103019 - VEÍCULOS DE BENEFÍCIOS - COMBUSTÍVEIS E LUBRIFICANTES</t>
        </is>
      </c>
      <c r="R6" s="31" t="inlineStr">
        <is>
          <t>4110101003 - PARTICIPAÇÃO NO LUCRO E RESULTADO - PLR</t>
        </is>
      </c>
      <c r="T6" s="31" t="inlineStr">
        <is>
          <t>GERENTE EXECUTIVO</t>
        </is>
      </c>
      <c r="V6" s="31" t="inlineStr">
        <is>
          <t>CONTA EMPRESA</t>
        </is>
      </c>
      <c r="X6" s="31" t="inlineStr">
        <is>
          <t>DEPÓSITO BANCÁRIO</t>
        </is>
      </c>
      <c r="Z6" s="33" t="n">
        <v>0.035</v>
      </c>
      <c r="AA6" s="33" t="n">
        <v>0.025</v>
      </c>
      <c r="AB6" s="33" t="n">
        <v>0.015</v>
      </c>
      <c r="AC6" s="33" t="n"/>
      <c r="AD6" s="33" t="n"/>
      <c r="AE6" s="33" t="n"/>
      <c r="AG6" s="31" t="inlineStr">
        <is>
          <t>DEB. AUTORIZADO C/C</t>
        </is>
      </c>
    </row>
    <row r="7">
      <c r="B7" s="31" t="inlineStr">
        <is>
          <t>SOLUCIONA CONSERVAÇÃO</t>
        </is>
      </c>
      <c r="C7" s="31" t="inlineStr">
        <is>
          <t>19.587.556/0001-54</t>
        </is>
      </c>
      <c r="D7" s="31" t="inlineStr">
        <is>
          <t>Rod Marechal Rondon, S/N - Canguera - Porto Feliz-SP - CEP: 18540-850</t>
        </is>
      </c>
      <c r="F7" s="31" t="inlineStr">
        <is>
          <t>ENTRADAS FI (TRIBUTOS/ENCARGOS)</t>
        </is>
      </c>
      <c r="G7" s="32" t="inlineStr">
        <is>
          <t>ESTRATEGIA_EX</t>
        </is>
      </c>
      <c r="H7" s="32" t="inlineStr">
        <is>
          <t>CONTA_EX</t>
        </is>
      </c>
      <c r="L7" s="31" t="inlineStr">
        <is>
          <t>CONCESSÕES</t>
        </is>
      </c>
      <c r="P7" s="31" t="inlineStr">
        <is>
          <t>4110403033 - LOCOMOÇÃO (PASSAGEM AÉREA)</t>
        </is>
      </c>
      <c r="Q7" s="31" t="inlineStr">
        <is>
          <t>4110103020 - VEÍCULOS DE BENEFÍCIOS - LICENCIAMENTO E IPVA</t>
        </is>
      </c>
      <c r="R7" s="31" t="inlineStr">
        <is>
          <t>4110101004 - ESTAGIÁRIOS</t>
        </is>
      </c>
      <c r="T7" s="31" t="inlineStr">
        <is>
          <t>GERENTE</t>
        </is>
      </c>
      <c r="V7" s="31" t="n"/>
      <c r="X7" s="31" t="inlineStr">
        <is>
          <t>GUIA TRIBUTO</t>
        </is>
      </c>
      <c r="Z7" s="33" t="n"/>
      <c r="AA7" s="33" t="n">
        <v>0.0279</v>
      </c>
      <c r="AB7" s="33" t="n"/>
      <c r="AC7" s="33" t="n"/>
      <c r="AD7" s="33" t="n"/>
      <c r="AE7" s="33" t="n"/>
      <c r="AG7" s="31" t="inlineStr">
        <is>
          <t>PIX</t>
        </is>
      </c>
    </row>
    <row r="8">
      <c r="B8" s="31" t="inlineStr">
        <is>
          <t>VIA SP SERRA</t>
        </is>
      </c>
      <c r="C8" s="31" t="inlineStr">
        <is>
          <t>50.399.553/0001-37</t>
        </is>
      </c>
      <c r="D8" s="31" t="inlineStr">
        <is>
          <t>Avenida Brig. Faria Lima, 3311 - 11º Andar - Conj 111 e 112 - Itaim Bibi - CEP 04538-133</t>
        </is>
      </c>
      <c r="F8" s="31" t="inlineStr">
        <is>
          <t>ENTRADAS FI (GUIAS JUDICIAIS)</t>
        </is>
      </c>
      <c r="G8" s="32" t="inlineStr">
        <is>
          <t>ESTRATEGIA_JU</t>
        </is>
      </c>
      <c r="H8" s="32" t="inlineStr">
        <is>
          <t>CONTA_JU</t>
        </is>
      </c>
      <c r="L8" s="31" t="inlineStr">
        <is>
          <t>CONSERVA</t>
        </is>
      </c>
      <c r="P8" s="31" t="n"/>
      <c r="Q8" s="31" t="inlineStr">
        <is>
          <t>4110103021 - VEÍCULOS DE BENEFÍCIOS - MANUTENÇÃO</t>
        </is>
      </c>
      <c r="R8" s="31" t="inlineStr">
        <is>
          <t>4110101005 - ANUÊNIOS</t>
        </is>
      </c>
      <c r="T8" s="31" t="inlineStr">
        <is>
          <t>DEMAIS</t>
        </is>
      </c>
      <c r="X8" s="31" t="inlineStr">
        <is>
          <t>PIX</t>
        </is>
      </c>
      <c r="Z8" s="33" t="n"/>
      <c r="AA8" s="33" t="n">
        <v>0.03</v>
      </c>
      <c r="AB8" s="33" t="n"/>
      <c r="AC8" s="33" t="n"/>
      <c r="AD8" s="33" t="n"/>
      <c r="AE8" s="33" t="n"/>
      <c r="AG8" s="31" t="inlineStr">
        <is>
          <t>POUPANÇA</t>
        </is>
      </c>
    </row>
    <row r="9">
      <c r="B9" s="31" t="inlineStr">
        <is>
          <t>RODOVIAS DO TIETÊ</t>
        </is>
      </c>
      <c r="C9" s="31" t="inlineStr">
        <is>
          <t>10.678.505/0001-63</t>
        </is>
      </c>
      <c r="D9" s="31" t="inlineStr">
        <is>
          <t>Rod Comendador Mario Dedini, Km 108+600 - Salto-SP - CEP: 13320-970</t>
        </is>
      </c>
      <c r="L9" s="31" t="inlineStr">
        <is>
          <t>DHO</t>
        </is>
      </c>
      <c r="P9" s="34" t="n"/>
      <c r="Q9" s="31" t="inlineStr">
        <is>
          <t>4110103022 - VEÍCULOS DE BENEFÍCIOS - SEGUROS</t>
        </is>
      </c>
      <c r="R9" s="31" t="inlineStr">
        <is>
          <t>4110101006 - ABONO SALARIAL</t>
        </is>
      </c>
      <c r="T9" s="31" t="inlineStr">
        <is>
          <t>N/A</t>
        </is>
      </c>
      <c r="X9" s="31" t="n"/>
      <c r="Z9" s="33" t="n"/>
      <c r="AA9" s="33" t="n">
        <v>0.035</v>
      </c>
      <c r="AB9" s="33" t="n"/>
      <c r="AC9" s="33" t="n"/>
      <c r="AD9" s="33" t="n"/>
      <c r="AE9" s="33" t="n"/>
      <c r="AG9" s="31" t="n"/>
    </row>
    <row r="10">
      <c r="B10" s="31" t="n"/>
      <c r="C10" s="31" t="n"/>
      <c r="D10" s="31" t="n"/>
      <c r="L10" s="31" t="inlineStr">
        <is>
          <t>ENGENHARIA</t>
        </is>
      </c>
      <c r="Q10" s="31" t="inlineStr">
        <is>
          <t>4110103998 - OUTROS BENEFÍCIOS DEDUTÍVEIS</t>
        </is>
      </c>
      <c r="R10" s="31" t="inlineStr">
        <is>
          <t>4110101007 - DESCANSO SEMANAL REMUNERADO DSR</t>
        </is>
      </c>
      <c r="Z10" s="33" t="n"/>
      <c r="AA10" s="33" t="n">
        <v>0.0384</v>
      </c>
      <c r="AB10" s="33" t="n"/>
      <c r="AC10" s="33" t="n"/>
      <c r="AD10" s="33" t="n"/>
      <c r="AE10" s="33" t="n"/>
    </row>
    <row r="11">
      <c r="L11" s="31" t="inlineStr">
        <is>
          <t>FINANCEIRO</t>
        </is>
      </c>
      <c r="Q11" s="31" t="inlineStr">
        <is>
          <t>4110103999 - OUTROS BENEFICIOS</t>
        </is>
      </c>
      <c r="R11" s="31" t="inlineStr">
        <is>
          <t>4110101008 - COMISSÕES</t>
        </is>
      </c>
      <c r="Z11" s="33" t="n"/>
      <c r="AA11" s="33" t="n">
        <v>0.0387</v>
      </c>
      <c r="AB11" s="33" t="n"/>
      <c r="AC11" s="33" t="n"/>
      <c r="AD11" s="33" t="n"/>
      <c r="AE11" s="33" t="n"/>
    </row>
    <row r="12">
      <c r="L12" s="31" t="inlineStr">
        <is>
          <t>FROTAS</t>
        </is>
      </c>
      <c r="Q12" s="34" t="n"/>
      <c r="R12" s="31" t="inlineStr">
        <is>
          <t>4110101009 - PRÊMIOS E GRATIFICAÇÕES</t>
        </is>
      </c>
      <c r="Z12" s="33" t="n"/>
      <c r="AA12" s="33" t="n">
        <v>0.04</v>
      </c>
      <c r="AB12" s="33" t="n"/>
      <c r="AC12" s="33" t="n"/>
      <c r="AD12" s="33" t="n"/>
      <c r="AE12" s="33" t="n"/>
    </row>
    <row r="13">
      <c r="L13" s="31" t="inlineStr">
        <is>
          <t>IMPLANTAÇÃO ENG.</t>
        </is>
      </c>
      <c r="R13" s="31" t="inlineStr">
        <is>
          <t>4110101010 - ADICIONAL NOTURNO/PLANTÃO</t>
        </is>
      </c>
      <c r="Z13" s="33" t="n"/>
      <c r="AA13" s="33" t="n">
        <v>0.0423</v>
      </c>
      <c r="AB13" s="33" t="n"/>
      <c r="AC13" s="33" t="n"/>
      <c r="AD13" s="33" t="n"/>
      <c r="AE13" s="33" t="n"/>
    </row>
    <row r="14">
      <c r="L14" s="31" t="inlineStr">
        <is>
          <t>JURÍDICO</t>
        </is>
      </c>
      <c r="R14" s="31" t="inlineStr">
        <is>
          <t>4110101011 - ADICIONAL INSALUBRIDADE E PERICULOSIDADE</t>
        </is>
      </c>
      <c r="Z14" s="33" t="n"/>
      <c r="AA14" s="33" t="n">
        <v>0.0426</v>
      </c>
      <c r="AB14" s="33" t="n"/>
      <c r="AC14" s="33" t="n"/>
      <c r="AD14" s="33" t="n"/>
      <c r="AE14" s="33" t="n"/>
    </row>
    <row r="15">
      <c r="L15" s="31" t="inlineStr">
        <is>
          <t>MEIO AMBIENTE</t>
        </is>
      </c>
      <c r="R15" s="31" t="inlineStr">
        <is>
          <t>4110101012 - PESSOAL TEMPORÁRIO/PROFISSIONAL LIBERAL</t>
        </is>
      </c>
      <c r="Z15" s="33" t="n"/>
      <c r="AA15" s="33" t="n">
        <v>0.0431</v>
      </c>
      <c r="AB15" s="33" t="n"/>
      <c r="AC15" s="33" t="n"/>
      <c r="AD15" s="33" t="n"/>
      <c r="AE15" s="33" t="n"/>
    </row>
    <row r="16">
      <c r="L16" s="31" t="inlineStr">
        <is>
          <t>NEGÓCIOS</t>
        </is>
      </c>
      <c r="R16" s="31" t="inlineStr">
        <is>
          <t>4110101013 - AUTÔNOMOS E COOPERATIVADOS</t>
        </is>
      </c>
      <c r="Z16" s="33" t="n"/>
      <c r="AA16" s="33" t="n">
        <v>0.045</v>
      </c>
      <c r="AB16" s="33" t="n"/>
      <c r="AC16" s="33" t="n"/>
      <c r="AD16" s="33" t="n"/>
      <c r="AE16" s="33" t="n"/>
    </row>
    <row r="17">
      <c r="L17" s="31" t="inlineStr">
        <is>
          <t>OPERAÇÃO</t>
        </is>
      </c>
      <c r="R17" s="31" t="inlineStr">
        <is>
          <t>4110101014 - MENOR APRENDIZ</t>
        </is>
      </c>
      <c r="Z17" s="33" t="n"/>
      <c r="AA17" s="33" t="n">
        <v>0.0461</v>
      </c>
      <c r="AB17" s="33" t="n"/>
      <c r="AC17" s="33" t="n"/>
      <c r="AD17" s="33" t="n"/>
      <c r="AE17" s="33" t="n"/>
    </row>
    <row r="18">
      <c r="L18" s="31" t="inlineStr">
        <is>
          <t>QSSMA</t>
        </is>
      </c>
      <c r="R18" s="31" t="inlineStr">
        <is>
          <t>4110101015 - QUEBRA DE CAIXA</t>
        </is>
      </c>
      <c r="Z18" s="33" t="n"/>
      <c r="AA18" s="33" t="n">
        <v>0.0465</v>
      </c>
      <c r="AB18" s="33" t="n"/>
      <c r="AC18" s="33" t="n"/>
      <c r="AD18" s="33" t="n"/>
      <c r="AE18" s="33" t="n"/>
    </row>
    <row r="19">
      <c r="L19" s="31" t="inlineStr">
        <is>
          <t>RECURSOS HUMANOS PJ</t>
        </is>
      </c>
      <c r="R19" s="31" t="inlineStr">
        <is>
          <t>4110101016 - AUXILIO DOENÇA</t>
        </is>
      </c>
      <c r="Z19" s="33" t="n"/>
      <c r="AA19" s="33" t="n">
        <v>0.05</v>
      </c>
      <c r="AB19" s="33" t="n"/>
      <c r="AC19" s="33" t="n"/>
      <c r="AD19" s="33" t="n"/>
      <c r="AE19" s="33" t="n"/>
    </row>
    <row r="20">
      <c r="L20" s="31" t="inlineStr">
        <is>
          <t>REMUNERAÇÃO E BENEFÍCIOS</t>
        </is>
      </c>
      <c r="R20" s="31" t="inlineStr">
        <is>
          <t>4110101017 - AVISO PRÉVIO INDENIZADO</t>
        </is>
      </c>
      <c r="Z20" s="35" t="n"/>
      <c r="AA20" s="35" t="n"/>
      <c r="AB20" s="35" t="n"/>
      <c r="AC20" s="35" t="n"/>
      <c r="AD20" s="35" t="n"/>
      <c r="AE20" s="35" t="n"/>
    </row>
    <row r="21">
      <c r="L21" s="31" t="inlineStr">
        <is>
          <t>SOLUCIONA</t>
        </is>
      </c>
      <c r="R21" s="31" t="inlineStr">
        <is>
          <t>4110101018 - FÉRIAS INDENIZADAS</t>
        </is>
      </c>
      <c r="Z21" s="36" t="n"/>
      <c r="AA21" s="36" t="n"/>
      <c r="AB21" s="36" t="n"/>
      <c r="AC21" s="36" t="n"/>
      <c r="AD21" s="36" t="n"/>
      <c r="AE21" s="36" t="n"/>
    </row>
    <row r="22">
      <c r="L22" s="31" t="inlineStr">
        <is>
          <t>TECNOLOGIA</t>
        </is>
      </c>
      <c r="R22" s="31" t="inlineStr">
        <is>
          <t>4110101019 - 13º SALÁRIO INDENIZAÇÃO</t>
        </is>
      </c>
      <c r="Z22" s="36" t="n"/>
      <c r="AA22" s="36" t="n"/>
      <c r="AB22" s="36" t="n"/>
      <c r="AC22" s="36" t="n"/>
      <c r="AD22" s="36" t="n"/>
      <c r="AE22" s="36" t="n"/>
    </row>
    <row r="23">
      <c r="L23" s="31" t="n"/>
      <c r="R23" s="31" t="inlineStr">
        <is>
          <t>4110101999 - OUTROS CUSTOS C/SALÁRIOS E REMUNERAÇÕES</t>
        </is>
      </c>
      <c r="Z23" s="36" t="n"/>
      <c r="AA23" s="36" t="n"/>
      <c r="AB23" s="36" t="n"/>
      <c r="AC23" s="36" t="n"/>
      <c r="AD23" s="36" t="n"/>
      <c r="AE23" s="36" t="n"/>
    </row>
    <row r="24">
      <c r="R24" s="31" t="inlineStr">
        <is>
          <t>4110102001 - PROVISÃO DE 13º SALÁRIO</t>
        </is>
      </c>
      <c r="Z24" s="36" t="n"/>
      <c r="AA24" s="36" t="n"/>
      <c r="AB24" s="36" t="n"/>
      <c r="AC24" s="36" t="n"/>
      <c r="AD24" s="36" t="n"/>
      <c r="AE24" s="36" t="n"/>
    </row>
    <row r="25">
      <c r="R25" s="31" t="inlineStr">
        <is>
          <t>4110102002 - PROVISÃO DE FÉRIAS</t>
        </is>
      </c>
      <c r="Z25" s="36" t="n"/>
      <c r="AA25" s="36" t="n"/>
      <c r="AB25" s="36" t="n"/>
      <c r="AC25" s="36" t="n"/>
      <c r="AD25" s="36" t="n"/>
      <c r="AE25" s="36" t="n"/>
    </row>
    <row r="26">
      <c r="R26" s="31" t="inlineStr">
        <is>
          <t>4110102003 - INSS S/FOLHA DE PAGAMENTO E PRÓ-LABORE</t>
        </is>
      </c>
      <c r="Z26" s="36" t="n"/>
      <c r="AA26" s="36" t="n"/>
      <c r="AB26" s="36" t="n"/>
      <c r="AC26" s="36" t="n"/>
      <c r="AD26" s="36" t="n"/>
      <c r="AE26" s="36" t="n"/>
    </row>
    <row r="27">
      <c r="R27" s="31" t="inlineStr">
        <is>
          <t>4110102004 - FGTS S/FOLHA DE PAGAMENTO</t>
        </is>
      </c>
      <c r="Z27" s="36" t="n"/>
      <c r="AA27" s="36" t="n"/>
      <c r="AB27" s="36" t="n"/>
      <c r="AC27" s="36" t="n"/>
      <c r="AD27" s="36" t="n"/>
      <c r="AE27" s="36" t="n"/>
    </row>
    <row r="28">
      <c r="R28" s="31" t="inlineStr">
        <is>
          <t>4110102005 - RESCISÃO CONTRATUAL</t>
        </is>
      </c>
      <c r="Z28" s="36" t="n"/>
      <c r="AA28" s="36" t="n"/>
      <c r="AB28" s="36" t="n"/>
      <c r="AC28" s="36" t="n"/>
      <c r="AD28" s="36" t="n"/>
      <c r="AE28" s="36" t="n"/>
    </row>
    <row r="29">
      <c r="R29" s="31" t="inlineStr">
        <is>
          <t>4110102006 - SESI/SENAI</t>
        </is>
      </c>
      <c r="Z29" s="36" t="n"/>
      <c r="AA29" s="36" t="n"/>
      <c r="AB29" s="36" t="n"/>
      <c r="AC29" s="36" t="n"/>
      <c r="AD29" s="36" t="n"/>
      <c r="AE29" s="36" t="n"/>
    </row>
    <row r="30">
      <c r="R30" s="31" t="inlineStr">
        <is>
          <t>4110102007 - ABONO PECUNIÁRIO</t>
        </is>
      </c>
    </row>
    <row r="31">
      <c r="R31" s="31" t="inlineStr">
        <is>
          <t>4110102008 - INDENIZAÇÕES TRABALHISTAS</t>
        </is>
      </c>
    </row>
    <row r="32">
      <c r="R32" s="31" t="inlineStr">
        <is>
          <t>4110102009 - PROVISÃO ENCARGOS SOCIAIS S/13º SALÁRIO</t>
        </is>
      </c>
    </row>
    <row r="33">
      <c r="R33" s="31" t="inlineStr">
        <is>
          <t>4110102010 - PROVISÃO ENCARGOS SOCIAIS S/FÉRIAS</t>
        </is>
      </c>
    </row>
    <row r="34">
      <c r="R34" s="31" t="inlineStr">
        <is>
          <t>4110102999 - OUTROS ENCARGOS SOCIAIS E TRABALHISTAS</t>
        </is>
      </c>
    </row>
    <row r="35">
      <c r="R35" s="31" t="inlineStr">
        <is>
          <t>4110103001 - SEGURO DE VIDA EM GRUPO</t>
        </is>
      </c>
    </row>
    <row r="36">
      <c r="R36" s="31" t="inlineStr">
        <is>
          <t>4110103002 - ASSISTÊNCIA MÉDICA</t>
        </is>
      </c>
    </row>
    <row r="37">
      <c r="R37" s="31" t="inlineStr">
        <is>
          <t>4110103003 - ASSISTÊNCIA ODONTOLÓGICA</t>
        </is>
      </c>
    </row>
    <row r="38">
      <c r="R38" s="31" t="inlineStr">
        <is>
          <t>4110103004 - VALE TRANSPORTE</t>
        </is>
      </c>
    </row>
    <row r="39">
      <c r="R39" s="31" t="inlineStr">
        <is>
          <t>4110103005 - VALE REFEIÇÃO</t>
        </is>
      </c>
    </row>
    <row r="40">
      <c r="R40" s="31" t="inlineStr">
        <is>
          <t>4110103006 - VALE ALIMENTAÇÃO / REFEIÇÃO</t>
        </is>
      </c>
    </row>
    <row r="41">
      <c r="R41" s="31" t="inlineStr">
        <is>
          <t>4110103007 - AJUDA DE CUSTO – REAPARELHAMENTO</t>
        </is>
      </c>
    </row>
    <row r="42">
      <c r="R42" s="31" t="inlineStr">
        <is>
          <t>4110103008 - PREVIDÊNCIA PRIVADA BÁSICA</t>
        </is>
      </c>
    </row>
    <row r="43">
      <c r="R43" s="31" t="inlineStr">
        <is>
          <t>4110103009 - PREVIDÊNCIA PRIVADA ADICIONAL</t>
        </is>
      </c>
    </row>
    <row r="44">
      <c r="R44" s="31" t="inlineStr">
        <is>
          <t>4110103010 - PREVIDÊNCIA PRIVADA SUPLEMENTAR</t>
        </is>
      </c>
    </row>
    <row r="45">
      <c r="R45" s="31" t="inlineStr">
        <is>
          <t>4110103011 - AUXILIO CRECHE</t>
        </is>
      </c>
    </row>
    <row r="46">
      <c r="R46" s="31" t="inlineStr">
        <is>
          <t>4110103012 - CONVENIO FARMACIA</t>
        </is>
      </c>
    </row>
    <row r="47">
      <c r="R47" s="31" t="inlineStr">
        <is>
          <t>4110103013 - BOLSAS DE ESTUDO</t>
        </is>
      </c>
    </row>
    <row r="48">
      <c r="R48" s="31" t="inlineStr">
        <is>
          <t>4110103014 - PROGRAMA DE ALIMENTAÇÃO DO TRABALHADOR (PAT)</t>
        </is>
      </c>
    </row>
    <row r="49">
      <c r="R49" s="31" t="inlineStr">
        <is>
          <t>4110103015 - CESTA BÁSICA</t>
        </is>
      </c>
    </row>
    <row r="50">
      <c r="R50" s="31" t="inlineStr">
        <is>
          <t>4110103016 - AUXÍLIO MORADIA</t>
        </is>
      </c>
    </row>
    <row r="51">
      <c r="R51" s="31" t="inlineStr">
        <is>
          <t>4110103018 - VEÍCULOS DE BENEFÍCIOS - ALUGUEL</t>
        </is>
      </c>
    </row>
    <row r="52">
      <c r="R52" s="31" t="inlineStr">
        <is>
          <t>4110103019 - VEÍCULOS DE BENEFÍCIOS - COMBUSTÍVEIS E LUBRIFICANTES</t>
        </is>
      </c>
    </row>
    <row r="53">
      <c r="R53" s="31" t="inlineStr">
        <is>
          <t>4110103020 - VEÍCULOS DE BENEFÍCIOS - LICENCIAMENTO E IPVA</t>
        </is>
      </c>
    </row>
    <row r="54">
      <c r="R54" s="31" t="inlineStr">
        <is>
          <t>4110103021 - VEÍCULOS DE BENEFÍCIOS - MANUTENÇÃO</t>
        </is>
      </c>
    </row>
    <row r="55">
      <c r="R55" s="31" t="inlineStr">
        <is>
          <t>4110103022 - VEÍCULOS DE BENEFÍCIOS - SEGUROS</t>
        </is>
      </c>
    </row>
    <row r="56">
      <c r="R56" s="31" t="inlineStr">
        <is>
          <t>4110103998 - OUTROS BENEFÍCIOS DEDUTÍVEIS</t>
        </is>
      </c>
    </row>
    <row r="57">
      <c r="R57" s="31" t="inlineStr">
        <is>
          <t>4110103999 - OUTROS BENEFICIOS</t>
        </is>
      </c>
    </row>
    <row r="58">
      <c r="R58" s="31" t="inlineStr">
        <is>
          <t>4110199001 - TREINAMENTO DE PESSOAL</t>
        </is>
      </c>
    </row>
    <row r="59">
      <c r="R59" s="31" t="inlineStr">
        <is>
          <t>4110199002 - MAO-DE-OBRA TEMPORARIA</t>
        </is>
      </c>
    </row>
    <row r="60">
      <c r="R60" s="31" t="inlineStr">
        <is>
          <t>4110199003 - EQUIPAMENTOS PROTEÇÃO INDIVIDUAL (EPI)</t>
        </is>
      </c>
    </row>
    <row r="61">
      <c r="R61" s="31" t="inlineStr">
        <is>
          <t>4110199004 - FUNDO DE PENSÃO</t>
        </is>
      </c>
    </row>
    <row r="62">
      <c r="R62" s="31" t="inlineStr">
        <is>
          <t>4110199005 - HONORÁRIOS DA DIRETORIA</t>
        </is>
      </c>
    </row>
    <row r="63">
      <c r="R63" s="31" t="inlineStr">
        <is>
          <t>4110199006 - HONORÁRIOS DO CONSELHO ADMINISTRAÇÃO</t>
        </is>
      </c>
    </row>
    <row r="64">
      <c r="R64" s="31" t="inlineStr">
        <is>
          <t>4110199007 - HONORÁRIOS DO CONSELHO FISCAL</t>
        </is>
      </c>
    </row>
    <row r="65">
      <c r="R65" s="31" t="inlineStr">
        <is>
          <t>4110199008 - EXAME ADMISSIONAL / DEMISSIONAL</t>
        </is>
      </c>
    </row>
    <row r="66">
      <c r="R66" s="31" t="inlineStr">
        <is>
          <t>4110199009 - MEDICINA DO TRABALHO</t>
        </is>
      </c>
    </row>
    <row r="67">
      <c r="R67" s="31" t="inlineStr">
        <is>
          <t>4110199010 - UNIFORMES E ALOJAMENTOS</t>
        </is>
      </c>
    </row>
    <row r="68">
      <c r="R68" s="31" t="inlineStr">
        <is>
          <t>4110201001 - SERVIÇO DE LIMPEZA</t>
        </is>
      </c>
    </row>
    <row r="69">
      <c r="R69" s="31" t="inlineStr">
        <is>
          <t>4110201002 - SERVIÇO DE VIGILÂNCIA</t>
        </is>
      </c>
    </row>
    <row r="70">
      <c r="R70" s="31" t="inlineStr">
        <is>
          <t>4110201003 - SERVIÇO DE TRANSPORTE DE COLABORADORES</t>
        </is>
      </c>
    </row>
    <row r="71">
      <c r="R71" s="31" t="inlineStr">
        <is>
          <t>4110201004 - SERVIÇO DE RECURSOS HUMANOS</t>
        </is>
      </c>
    </row>
    <row r="72">
      <c r="R72" s="31" t="inlineStr">
        <is>
          <t>4110201005 - FRETES E CARRETOS</t>
        </is>
      </c>
    </row>
    <row r="73">
      <c r="R73" s="31" t="inlineStr">
        <is>
          <t>4110201006 - SERVIÇO DE TRANSPORTES DE VALORES</t>
        </is>
      </c>
    </row>
    <row r="74">
      <c r="R74" s="31" t="inlineStr">
        <is>
          <t>4110201007 - SERVIÇO DE AUDITORIA EXTERNA</t>
        </is>
      </c>
    </row>
    <row r="75">
      <c r="R75" s="31" t="inlineStr">
        <is>
          <t>4110201008 - SERVIÇO DE CONSULTORIA JURÍDICA</t>
        </is>
      </c>
    </row>
    <row r="76">
      <c r="R76" s="31" t="inlineStr">
        <is>
          <t>4110201009 - SERVIÇO DE CONSULTORIA CONTÁBIL FISCAL</t>
        </is>
      </c>
    </row>
    <row r="77">
      <c r="R77" s="31" t="inlineStr">
        <is>
          <t>4110201010 - SERVIÇO DE CONSULTORIA FINANCEIRA</t>
        </is>
      </c>
    </row>
    <row r="78">
      <c r="R78" s="31" t="inlineStr">
        <is>
          <t>4110201011 - SERV.CONSULTORIA TECNOLOGIA INFORMAÇÃO</t>
        </is>
      </c>
    </row>
    <row r="79">
      <c r="R79" s="31" t="inlineStr">
        <is>
          <t>4110201012 - SERVIÇO CONSULTORIA GESTÃO EMPRESARIAL</t>
        </is>
      </c>
    </row>
    <row r="80">
      <c r="R80" s="31" t="inlineStr">
        <is>
          <t>4110201013 - SERVIÇO DE CONSULTORIA DE PESSOAS</t>
        </is>
      </c>
    </row>
    <row r="81">
      <c r="R81" s="31" t="inlineStr">
        <is>
          <t>4110201014 - SERV.CONSULTORIA MARKETING COMUNICAÇÃO</t>
        </is>
      </c>
    </row>
    <row r="82">
      <c r="R82" s="31" t="inlineStr">
        <is>
          <t>4110201015 - SERVIÇO DE CONSULTORIA DE IMPACTO AMBIENTAL</t>
        </is>
      </c>
    </row>
    <row r="83">
      <c r="R83" s="31" t="inlineStr">
        <is>
          <t>4110201016 - SERVICO DE CONSULTORIA DE INFORMATICA</t>
        </is>
      </c>
    </row>
    <row r="84">
      <c r="R84" s="31" t="inlineStr">
        <is>
          <t>4110201017 - SERVIÇO DE COMUNICAÇÃO SOCIAL</t>
        </is>
      </c>
    </row>
    <row r="85">
      <c r="R85" s="31" t="inlineStr">
        <is>
          <t>4110201018 - SERVIÇO DE ASSISTÊNCIA SOCIAL</t>
        </is>
      </c>
    </row>
    <row r="86">
      <c r="R86" s="31" t="inlineStr">
        <is>
          <t>4110201019 - SERVIÇO DE LOGISTICA DE ARQUIVOS</t>
        </is>
      </c>
    </row>
    <row r="87">
      <c r="R87" s="31" t="inlineStr">
        <is>
          <t>4110201021 - SERVIÇO COOPERATIVADOS</t>
        </is>
      </c>
    </row>
    <row r="88">
      <c r="R88" s="31" t="inlineStr">
        <is>
          <t>4110201022 - SERVIÇO DE ANÁLISES TÉCNICAS</t>
        </is>
      </c>
    </row>
    <row r="89">
      <c r="R89" s="31" t="inlineStr">
        <is>
          <t>4110201023 - SERVIÇO DE ENG.,ARQUITETURA E URBANISMO</t>
        </is>
      </c>
    </row>
    <row r="90">
      <c r="R90" s="31" t="inlineStr">
        <is>
          <t>4110201024 - RESSARCIMENTO DE DANOS AO PATRIMONIO</t>
        </is>
      </c>
    </row>
    <row r="91">
      <c r="R91" s="31" t="inlineStr">
        <is>
          <t>4110201025 - SERVIÇO DE AUDITORIA INTERNA</t>
        </is>
      </c>
    </row>
    <row r="92">
      <c r="R92" s="31" t="inlineStr">
        <is>
          <t>4110201026 - SERVIÇO MÉDICOS E ODONTOLÓGICOS</t>
        </is>
      </c>
    </row>
    <row r="93">
      <c r="R93" s="31" t="inlineStr">
        <is>
          <t>4110201027 - SERVIÇO DE CONSULTORIA DE QUALIDADE</t>
        </is>
      </c>
    </row>
    <row r="94">
      <c r="R94" s="31" t="inlineStr">
        <is>
          <t>4110201028 - SERVIÇO DE MANUTENÇÃO DE SOFTWARE</t>
        </is>
      </c>
    </row>
    <row r="95">
      <c r="R95" s="31" t="inlineStr">
        <is>
          <t>4110201029 - SERVIÇO DE CONSULTORIA ENG.E OPERAÇÃO</t>
        </is>
      </c>
    </row>
    <row r="96">
      <c r="R96" s="31" t="inlineStr">
        <is>
          <t>4110201030 - COMITÊ DE TRANSIÇÃO</t>
        </is>
      </c>
    </row>
    <row r="97">
      <c r="R97" s="31" t="inlineStr">
        <is>
          <t>4110201099 - OUTROS SERVICOS DE TERCEIROS - PESSOA JU</t>
        </is>
      </c>
    </row>
    <row r="98">
      <c r="R98" s="31" t="inlineStr">
        <is>
          <t>4110201998 - OUTROS SERV. TERCEIROS - PESSOA JURÍD.-ESTRANGEIRA</t>
        </is>
      </c>
    </row>
    <row r="99">
      <c r="R99" s="31" t="inlineStr">
        <is>
          <t>4110201999 - OUTROS SERVIÇOS TERCEIROS -PJ- NACIONAL</t>
        </is>
      </c>
    </row>
    <row r="100">
      <c r="R100" s="31" t="inlineStr">
        <is>
          <t>4110202001 - SERVIÇO DE GERENCIAMENTO DE MANUTENÇÃO</t>
        </is>
      </c>
    </row>
    <row r="101">
      <c r="R101" s="31" t="inlineStr">
        <is>
          <t>4110202002 - SERVIÇO DE GERENCIAMENTO E CONSERVAÇÃO</t>
        </is>
      </c>
    </row>
    <row r="102">
      <c r="R102" s="31" t="inlineStr">
        <is>
          <t>4110202003 - SERVIÇO DE MANUTENÇÃO E CONSERVAÇÃO DA SINALIZAÇÃO</t>
        </is>
      </c>
    </row>
    <row r="103">
      <c r="R103" s="31" t="inlineStr">
        <is>
          <t>4110202004 - SERVIÇOS DE MANUTENÇÃO ELETRO-ELETRÔNICA</t>
        </is>
      </c>
    </row>
    <row r="104">
      <c r="R104" s="31" t="inlineStr">
        <is>
          <t>4110202005 - SERVIÇO DE MANUTENÇÃO PREDIAL ELÉTRICA</t>
        </is>
      </c>
    </row>
    <row r="105">
      <c r="R105" s="31" t="inlineStr">
        <is>
          <t>4110202006 - SERV.CONS.DISP.E ELEMENTOS DE SEGURANÇA</t>
        </is>
      </c>
    </row>
    <row r="106">
      <c r="R106" s="31" t="inlineStr">
        <is>
          <t>4110202007 - SERVIÇO DE DRENAGEM</t>
        </is>
      </c>
    </row>
    <row r="107">
      <c r="R107" s="31" t="inlineStr">
        <is>
          <t>4110202008 - SERV.CONSERVAÇÃO REVESTIMENTO VEGETAL</t>
        </is>
      </c>
    </row>
    <row r="108">
      <c r="R108" s="31" t="inlineStr">
        <is>
          <t>4110202009 - SERVIÇO DE CONSERVAÇÃO DE OBRAS DE ARTE CORRENTES</t>
        </is>
      </c>
    </row>
    <row r="109">
      <c r="R109" s="31" t="inlineStr">
        <is>
          <t>4110202010 - SERVIÇO DE CONS. DE TRANSCEPTORES FIXOS, MOV. PORT</t>
        </is>
      </c>
    </row>
    <row r="110">
      <c r="R110" s="31" t="inlineStr">
        <is>
          <t>4110202011 - SERVIÇO CONS.PAVIMENTO(FLEXIVEL/RIGIDO)</t>
        </is>
      </c>
    </row>
    <row r="111">
      <c r="R111" s="31" t="inlineStr">
        <is>
          <t>4110202012 - SERVIÇO DE INSPEÇÃO DE TRÁFEGO</t>
        </is>
      </c>
    </row>
    <row r="112">
      <c r="R112" s="31" t="inlineStr">
        <is>
          <t>4110202013 - SERVIÇO DE CONSULTORIA DE TRÁFEGO</t>
        </is>
      </c>
    </row>
    <row r="113">
      <c r="R113" s="31" t="inlineStr">
        <is>
          <t>4110202014 - SERV.GESTÃO OPERAC.E ADMINIST.DO AVI/VISA E OUTROS</t>
        </is>
      </c>
    </row>
    <row r="114">
      <c r="R114" s="31" t="inlineStr">
        <is>
          <t>4110202015 - SERVIÇO DE GUINCHO</t>
        </is>
      </c>
    </row>
    <row r="115">
      <c r="R115" s="31" t="inlineStr">
        <is>
          <t>4110202016 - ATENDIMENTO PRÉ-HOSPITALAR</t>
        </is>
      </c>
    </row>
    <row r="116">
      <c r="R116" s="31" t="inlineStr">
        <is>
          <t>4110202017 - SERVIÇO DE REMOÇÃO DE LIXO E ENTULHO</t>
        </is>
      </c>
    </row>
    <row r="117">
      <c r="R117" s="31" t="inlineStr">
        <is>
          <t>4110202018 - SERVIÇO DE CONSERVAÇÃO DE PARADA DE ÔNIBUS E MONUMENTOS</t>
        </is>
      </c>
    </row>
    <row r="118">
      <c r="R118" s="31" t="inlineStr">
        <is>
          <t>4110202019 - PONTES, VIADUTOS, TÚNEIS E PASSARELAS</t>
        </is>
      </c>
    </row>
    <row r="119">
      <c r="R119" s="31" t="inlineStr">
        <is>
          <t>4110202020 - SERVIÇO DE TERRAPLANAGEM, EROSÕES E CONTENÇÕES</t>
        </is>
      </c>
    </row>
    <row r="120">
      <c r="R120" s="31" t="inlineStr">
        <is>
          <t>4110202021 - SERVIÇO DE LIMPEZA (MANUAL E MECANICA)</t>
        </is>
      </c>
    </row>
    <row r="121">
      <c r="R121" s="31" t="inlineStr">
        <is>
          <t>4110202022 - SERVIÇOS DE MANUTENÇÃO PREDIAL</t>
        </is>
      </c>
    </row>
    <row r="122">
      <c r="R122" s="31" t="inlineStr">
        <is>
          <t>4110202023 - APREENSÃO DE ANIMAIS</t>
        </is>
      </c>
    </row>
    <row r="123">
      <c r="R123" s="31" t="inlineStr">
        <is>
          <t>4110202024 - SERVIÇOS DE OPERAÇÃO DE BALANÇAS</t>
        </is>
      </c>
    </row>
    <row r="124">
      <c r="R124" s="31" t="inlineStr">
        <is>
          <t>4110202025 - SERVIÇOS DE ARRECADAÇÃO</t>
        </is>
      </c>
    </row>
    <row r="125">
      <c r="R125" s="31" t="inlineStr">
        <is>
          <t>4110202026 - SERVIÇOS DE CAMINHÃO E PIPA</t>
        </is>
      </c>
    </row>
    <row r="126">
      <c r="R126" s="31" t="inlineStr">
        <is>
          <t>4110202999 - DESPESAS RECUPERADAS</t>
        </is>
      </c>
    </row>
    <row r="127">
      <c r="R127" s="31" t="inlineStr">
        <is>
          <t>4110203001 - AUTÔNOMOS</t>
        </is>
      </c>
    </row>
    <row r="128">
      <c r="R128" s="31" t="inlineStr">
        <is>
          <t>4110203002 - INSS AUTÔNOMOS</t>
        </is>
      </c>
    </row>
    <row r="129">
      <c r="R129" s="31" t="inlineStr">
        <is>
          <t>4110204001 - SERVIÇOS DE TERCEIROS - PF - ESTRANGEIRA</t>
        </is>
      </c>
    </row>
    <row r="130">
      <c r="R130" s="31" t="inlineStr">
        <is>
          <t>4110299001 - OUTROS PRESTADORES DE SERVIÇOS</t>
        </is>
      </c>
    </row>
    <row r="131">
      <c r="R131" s="31" t="inlineStr">
        <is>
          <t>4110299002 - SERVIÇOS ESPECIALIZADOS DE PJ</t>
        </is>
      </c>
    </row>
    <row r="132">
      <c r="R132" s="31" t="inlineStr">
        <is>
          <t>4110301001 - MATERIAL DE LIMPEZA</t>
        </is>
      </c>
    </row>
    <row r="133">
      <c r="R133" s="31" t="inlineStr">
        <is>
          <t>4110301002 - MATERIAL DE ESCRITÓRIO</t>
        </is>
      </c>
    </row>
    <row r="134">
      <c r="R134" s="31" t="inlineStr">
        <is>
          <t>4110301003 - MATERIAL DE SEGURANÇA</t>
        </is>
      </c>
    </row>
    <row r="135">
      <c r="R135" s="31" t="inlineStr">
        <is>
          <t>4110301004 - MATERIAL DE INFORMÁTICA</t>
        </is>
      </c>
    </row>
    <row r="136">
      <c r="R136" s="31" t="inlineStr">
        <is>
          <t>4110301005 - MATERIAL PARA MANUTENÇÃO E CONSERVA DA RODOVIA</t>
        </is>
      </c>
    </row>
    <row r="137">
      <c r="R137" s="31" t="inlineStr">
        <is>
          <t>4110301006 - FERRAGENS E FERRAMENTAS</t>
        </is>
      </c>
    </row>
    <row r="138">
      <c r="R138" s="31" t="inlineStr">
        <is>
          <t>4110301007 - CONSUMÍVEIS OPERACIONAIS</t>
        </is>
      </c>
    </row>
    <row r="139">
      <c r="R139" s="31" t="inlineStr">
        <is>
          <t>4110301008 - CORREÇÃO DE ESTOQUE</t>
        </is>
      </c>
    </row>
    <row r="140">
      <c r="R140" s="31" t="inlineStr">
        <is>
          <t>4110301009 - UNIFORMES E ALOJAMENTOS</t>
        </is>
      </c>
    </row>
    <row r="141">
      <c r="R141" s="31" t="inlineStr">
        <is>
          <t>4110301010 - MATERIAL DE ÁUDIO, VÍDEO E COMUNICAÇÃO</t>
        </is>
      </c>
    </row>
    <row r="142">
      <c r="R142" s="31" t="inlineStr">
        <is>
          <t>4110301011 - MATERIAL DE CONSUMO E COPA/COZINHA</t>
        </is>
      </c>
    </row>
    <row r="143">
      <c r="R143" s="31" t="inlineStr">
        <is>
          <t>4110301012 - MATERIAL DE SINALIZAÇÃO</t>
        </is>
      </c>
    </row>
    <row r="144">
      <c r="R144" s="31" t="inlineStr">
        <is>
          <t>4110302001 - MATERIAIS DE MANUTENÇÃO PREDIAL</t>
        </is>
      </c>
    </row>
    <row r="145">
      <c r="R145" s="31" t="inlineStr">
        <is>
          <t>4110302002 - MANUTENÇÃO DE EQUIPAMENTOS E ACESSÓRIOS</t>
        </is>
      </c>
    </row>
    <row r="146">
      <c r="R146" s="31" t="inlineStr">
        <is>
          <t>4110302003 - MANUTENÇÃO DE INSTALAÇÕES</t>
        </is>
      </c>
    </row>
    <row r="147">
      <c r="R147" s="31" t="inlineStr">
        <is>
          <t>4110302004 - SEGUROS DE EQUIPAMENTOS</t>
        </is>
      </c>
    </row>
    <row r="148">
      <c r="R148" s="31" t="inlineStr">
        <is>
          <t>4110302005 - MÁQUINAS E EQUIPAMENTOS DE PEQUENO VALOR</t>
        </is>
      </c>
    </row>
    <row r="149">
      <c r="R149" s="31" t="inlineStr">
        <is>
          <t>4110302006 - ALUGUEL MAQS.EQUIPS,ESTRUTURAS/OUTROS</t>
        </is>
      </c>
    </row>
    <row r="150">
      <c r="R150" s="31" t="inlineStr">
        <is>
          <t>4110302007 - ARRENDAMENTO OPERACIONAL</t>
        </is>
      </c>
    </row>
    <row r="151">
      <c r="R151" s="31" t="inlineStr">
        <is>
          <t>4110303001 - VEÍCULOS OPERACIONAIS - MANUTENÇÃO</t>
        </is>
      </c>
    </row>
    <row r="152">
      <c r="R152" s="31" t="inlineStr">
        <is>
          <t>4110303002 - VEÍCULOS OPERACIONAIS - ALUGUEL</t>
        </is>
      </c>
    </row>
    <row r="153">
      <c r="R153" s="31" t="inlineStr">
        <is>
          <t>4110303003 - VEÍCULOS OPERACIONAIS - COMBUSTÍVEIS E LUBRIFICANTES</t>
        </is>
      </c>
    </row>
    <row r="154">
      <c r="R154" s="31" t="inlineStr">
        <is>
          <t>4110303004 - IPVA</t>
        </is>
      </c>
    </row>
    <row r="155">
      <c r="R155" s="31" t="inlineStr">
        <is>
          <t>4110303005 - VEÍCULOS OPERACIONAIS - SEGUROS</t>
        </is>
      </c>
    </row>
    <row r="156">
      <c r="R156" s="31" t="inlineStr">
        <is>
          <t>4110303006 - VEÍCULOS OPERACIONAIS - LICENCIAMENTO E IPVA</t>
        </is>
      </c>
    </row>
    <row r="157">
      <c r="R157" s="31" t="inlineStr">
        <is>
          <t>4110303007 - DESPACHANTE</t>
        </is>
      </c>
    </row>
    <row r="158">
      <c r="R158" s="31" t="inlineStr">
        <is>
          <t>4110303008 - IMPACTO DO IFRS16 SOBRE ALUGUÉIS DE VEÍCULOS</t>
        </is>
      </c>
    </row>
    <row r="159">
      <c r="R159" s="31" t="inlineStr">
        <is>
          <t>4110401001 - ENERGIA ELÉTRICA</t>
        </is>
      </c>
    </row>
    <row r="160">
      <c r="R160" s="31" t="inlineStr">
        <is>
          <t>4110401002 - ÁGUA</t>
        </is>
      </c>
    </row>
    <row r="161">
      <c r="R161" s="31" t="inlineStr">
        <is>
          <t>4110401003 - TELEFONIA FIXA E CELULAR</t>
        </is>
      </c>
    </row>
    <row r="162">
      <c r="R162" s="31" t="inlineStr">
        <is>
          <t>4110401004 - COMUNICAÇÃO DE DADOS - INTERNET</t>
        </is>
      </c>
    </row>
    <row r="163">
      <c r="R163" s="31" t="inlineStr">
        <is>
          <t>4110401005 - GÁS</t>
        </is>
      </c>
    </row>
    <row r="164">
      <c r="R164" s="31" t="inlineStr">
        <is>
          <t>4110402001 - ALUGUEL DE IMÓVEIS E CONDOMÍNIOS</t>
        </is>
      </c>
    </row>
    <row r="165">
      <c r="R165" s="31" t="inlineStr">
        <is>
          <t>4110402002 - IPTU</t>
        </is>
      </c>
    </row>
    <row r="166">
      <c r="R166" s="31" t="inlineStr">
        <is>
          <t>4110402003 - SEGUROS DE IMÓVEIS</t>
        </is>
      </c>
    </row>
    <row r="167">
      <c r="R167" s="31" t="inlineStr">
        <is>
          <t>4110402004 - IMPACTO DO IFRS16 SOBRE ALUGUÉIS DE IMÓVEIS</t>
        </is>
      </c>
    </row>
    <row r="168">
      <c r="R168" s="31" t="inlineStr">
        <is>
          <t>4110403001 - REPRODUÇÕES E ENCADERNAÇÕES</t>
        </is>
      </c>
    </row>
    <row r="169">
      <c r="R169" s="31" t="inlineStr">
        <is>
          <t>4110403002 - CONDUÇÃO, ESTACIONAMENTO E PEDÁGIO</t>
        </is>
      </c>
    </row>
    <row r="170">
      <c r="R170" s="31" t="inlineStr">
        <is>
          <t>4110403003 - LANCHES E REFEIÇÕES</t>
        </is>
      </c>
    </row>
    <row r="171">
      <c r="R171" s="31" t="inlineStr">
        <is>
          <t>4110403004 - CORREIO, MALOTE E TRANSPORTE DE CORRESPONDÊNCIA</t>
        </is>
      </c>
    </row>
    <row r="172">
      <c r="R172" s="31" t="inlineStr">
        <is>
          <t>4110403005 - FOTOS, FILMES E SLIDES</t>
        </is>
      </c>
    </row>
    <row r="173">
      <c r="R173" s="31" t="inlineStr">
        <is>
          <t>4110403006 - SERVIÇOS GRÁFICOS</t>
        </is>
      </c>
    </row>
    <row r="174">
      <c r="R174" s="31" t="inlineStr">
        <is>
          <t>4110403008 - MULTAS E OUTRAS DESPESAS INDEDUTÍVEIS</t>
        </is>
      </c>
    </row>
    <row r="175">
      <c r="R175" s="31" t="inlineStr">
        <is>
          <t>4110403009 - AMOSTRAS, DONATIVOS E BRINDES</t>
        </is>
      </c>
    </row>
    <row r="176">
      <c r="R176" s="31" t="inlineStr">
        <is>
          <t>4110403010 - DOAÇÕES (DEDUTÍVEIS)</t>
        </is>
      </c>
    </row>
    <row r="177">
      <c r="R177" s="31" t="inlineStr">
        <is>
          <t>4110403011 - ASSINATURAS JORNAIS, REV.,TV CABO E PERIÓDICOS</t>
        </is>
      </c>
    </row>
    <row r="178">
      <c r="R178" s="31" t="inlineStr">
        <is>
          <t>4110403012 - ASSOCIAÇÕES CLASSE- CONT.SIND. PATRONAL</t>
        </is>
      </c>
    </row>
    <row r="179">
      <c r="R179" s="31" t="inlineStr">
        <is>
          <t>4110403013 - LEGAIS E JUDICIAIS</t>
        </is>
      </c>
    </row>
    <row r="180">
      <c r="R180" s="31" t="inlineStr">
        <is>
          <t>4110602001 - CÍVEIS - CONDENAÇÕES</t>
        </is>
      </c>
    </row>
    <row r="181">
      <c r="R181" s="31" t="inlineStr">
        <is>
          <t>4110602002 - TRIBUTÁRIAS - CONDENAÇÕES</t>
        </is>
      </c>
    </row>
    <row r="182">
      <c r="R182" s="31" t="inlineStr">
        <is>
          <t>4110602003 - TRABALHISTAS INTERNOS - CONDENAÇÕES</t>
        </is>
      </c>
    </row>
    <row r="183">
      <c r="R183" s="31" t="inlineStr">
        <is>
          <t>4110602004 - DEMAIS CAUSAS - CONDENAÇÕES</t>
        </is>
      </c>
    </row>
    <row r="184">
      <c r="R184" s="31" t="inlineStr">
        <is>
          <t>4110602010 - TRABALHISTAS EXTERNOS - CONDENAÇÕES</t>
        </is>
      </c>
    </row>
    <row r="185">
      <c r="R185" s="31" t="inlineStr">
        <is>
          <t>4110403014 - INDENIZAÇÕES A TERCEIROS SEM PROVISÕES</t>
        </is>
      </c>
    </row>
    <row r="186">
      <c r="R186" s="31" t="inlineStr">
        <is>
          <t>4110403015 - COMISSÕES E REPRESENTAÇÕES (PJ)</t>
        </is>
      </c>
    </row>
    <row r="187">
      <c r="R187" s="31" t="inlineStr">
        <is>
          <t>4110403016 - SEGUROS DIVERSOS</t>
        </is>
      </c>
    </row>
    <row r="188">
      <c r="R188" s="31" t="inlineStr">
        <is>
          <t>4110403018 - EVENTOS, FEIRAS E CONGRESSO</t>
        </is>
      </c>
    </row>
    <row r="189">
      <c r="R189" s="31" t="inlineStr">
        <is>
          <t>4110403019 - FESTAS E CONFRATERNIZAÇÕES</t>
        </is>
      </c>
    </row>
    <row r="190">
      <c r="R190" s="31" t="inlineStr">
        <is>
          <t>4110403020 - PERDAS POR ROUBO</t>
        </is>
      </c>
    </row>
    <row r="191">
      <c r="R191" s="31" t="inlineStr">
        <is>
          <t>4110403021 - PROVISÃO PARA PERDAS EM INCENTIVOS FISCAIS</t>
        </is>
      </c>
    </row>
    <row r="192">
      <c r="R192" s="31" t="inlineStr">
        <is>
          <t>4110403022 - DOAÇÃO FUNDO MUNICIPAL DA CRIANÇA E DO ADOLESCENTE</t>
        </is>
      </c>
    </row>
    <row r="193">
      <c r="R193" s="31" t="inlineStr">
        <is>
          <t>4110403023 - PROJETOS LEI ROUANET</t>
        </is>
      </c>
    </row>
    <row r="194">
      <c r="R194" s="31" t="inlineStr">
        <is>
          <t>4110403024 - DOAÇÕES PARA OSCIP – LEI 9790/99</t>
        </is>
      </c>
    </row>
    <row r="195">
      <c r="R195" s="31" t="inlineStr">
        <is>
          <t>4110403025 - INCENTIVOS AO ESPORTE – LEI 11.438/06</t>
        </is>
      </c>
    </row>
    <row r="196">
      <c r="R196" s="31" t="inlineStr">
        <is>
          <t>4110403026 - CONTRIBUIÇÕES E DOAÇÕES ÀS INSTITUIÇÕES – DEDUTÍVEIS</t>
        </is>
      </c>
    </row>
    <row r="197">
      <c r="R197" s="31" t="inlineStr">
        <is>
          <t>4110403027 - ESTADIA E HOTÉIS</t>
        </is>
      </c>
    </row>
    <row r="198">
      <c r="R198" s="31" t="inlineStr">
        <is>
          <t>4110403028 - IMPOSTOS, TAXAS E DESPESAS COM CARTÓRIO</t>
        </is>
      </c>
    </row>
    <row r="199">
      <c r="R199" s="31" t="inlineStr">
        <is>
          <t>4110403029 - RESSARCIMENTO AO USUÁRIO</t>
        </is>
      </c>
    </row>
    <row r="200">
      <c r="R200" s="31" t="inlineStr">
        <is>
          <t>4110403030 - PUBLIC.(BAL.,ATAS,CONV.,DEM.FINANC,ETC)</t>
        </is>
      </c>
    </row>
    <row r="201">
      <c r="R201" s="31" t="inlineStr">
        <is>
          <t>4110403031 - MULTAS DO CONTRATO DE CONCESSÃO</t>
        </is>
      </c>
    </row>
    <row r="202">
      <c r="R202" s="31" t="inlineStr">
        <is>
          <t>4110403032 - ALIMENTAÇÃO E DEMAIS CUSTOS DE VIAGENS</t>
        </is>
      </c>
    </row>
    <row r="203">
      <c r="R203" s="31" t="inlineStr">
        <is>
          <t>4110403033 - LOCOMOÇÃO</t>
        </is>
      </c>
    </row>
    <row r="204">
      <c r="R204" s="31" t="inlineStr">
        <is>
          <t>4110404001 - CAMPANHAS E EVENTOS PROMOCIONAIS</t>
        </is>
      </c>
    </row>
    <row r="205">
      <c r="R205" s="31" t="inlineStr">
        <is>
          <t>4110404002 - VEÍC.COM.-REVISTAS,JORNAIS,TV,FOLHETOS E PANFLETOS</t>
        </is>
      </c>
    </row>
    <row r="206">
      <c r="R206" s="31" t="inlineStr">
        <is>
          <t>4110404003 - PAINÉIS E FAIXAS</t>
        </is>
      </c>
    </row>
    <row r="207">
      <c r="R207" s="31" t="inlineStr">
        <is>
          <t>4110404004 - PATROCÍNIOS</t>
        </is>
      </c>
    </row>
    <row r="208">
      <c r="R208" s="31" t="inlineStr">
        <is>
          <t>4110499001 - OUTROS GASTOS GERAIS</t>
        </is>
      </c>
    </row>
  </sheetData>
  <mergeCells count="5">
    <mergeCell ref="P2:R2"/>
    <mergeCell ref="F2:H2"/>
    <mergeCell ref="J2:M2"/>
    <mergeCell ref="B2:D2"/>
    <mergeCell ref="Z2:AE2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Eder Rafael Domingues</dc:creator>
  <dcterms:created xsi:type="dcterms:W3CDTF">2025-07-04T15:34:06Z</dcterms:created>
  <dcterms:modified xsi:type="dcterms:W3CDTF">2026-02-24T21:28:54Z</dcterms:modified>
  <cp:lastModifiedBy>Joao Victor Borges Guimaraes</cp:lastModifiedBy>
  <cp:lastPrinted>2025-07-23T10:44:11Z</cp:lastPrinted>
</cp:coreProperties>
</file>