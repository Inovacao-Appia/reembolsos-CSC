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joao.guimaraes\Downloads\"/>
    </mc:Choice>
  </mc:AlternateContent>
  <xr:revisionPtr revIDLastSave="0" documentId="8_{EB3F3486-4363-4EE8-8EC4-D2EC99771EEF}" xr6:coauthVersionLast="47" xr6:coauthVersionMax="47" xr10:uidLastSave="{00000000-0000-0000-0000-000000000000}"/>
  <bookViews>
    <workbookView xWindow="-110" yWindow="-110" windowWidth="19420" windowHeight="10300" xr2:uid="{188416C1-DE4A-4FCE-B734-B7A9F3086F6A}"/>
  </bookViews>
  <sheets>
    <sheet name="FORMULARIO_FI" sheetId="1" r:id="rId1"/>
    <sheet name="CAD" sheetId="2" r:id="rId2"/>
  </sheets>
  <definedNames>
    <definedName name="_xlnm.Print_Area" localSheetId="0">FORMULARIO_FI!$A$1:$V$75</definedName>
    <definedName name="CONTA_BENEFICIOS">CAD!$Q$4:$Q9</definedName>
    <definedName name="CONTA_FI">CAD!$R$4:$R$208</definedName>
    <definedName name="CONTA_VIAGENS">CAD!$P$4:$P$9</definedName>
    <definedName name="ESTRATEGIA_BENEFICIOS">CAD!$K$4:$K$5</definedName>
    <definedName name="ESTRATEGIA_EX">CAD!$M$4:$M$26</definedName>
    <definedName name="ESTRATEGIA_FI">CAD!$L$4:$L$23</definedName>
    <definedName name="ESTRATEGIA_JU">CAD!$N$4:$N$5</definedName>
    <definedName name="ESTRATEGIA_VIAGENS">CAD!$J$4:$J$5</definedName>
    <definedName name="LISTA_EMPRESAS">CAD!$B$4:$B$10</definedName>
    <definedName name="LISTA_ESTRATEGIA_APROVACAO">CAD!$J$4:$J$23</definedName>
    <definedName name="LISTA_FORMA_PGTO">CAD!$V$4:$V$7</definedName>
    <definedName name="LISTA_TIPO_FORMULARIO">CAD!$F$4:$F$9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M3" i="2"/>
  <c r="B11" i="1"/>
  <c r="B10" i="1"/>
  <c r="B9" i="1"/>
  <c r="X46" i="1" l="1"/>
  <c r="X45" i="1"/>
  <c r="Y45" i="1" s="1"/>
  <c r="X44" i="1"/>
  <c r="X43" i="1"/>
  <c r="X42" i="1"/>
  <c r="X41" i="1"/>
  <c r="X40" i="1"/>
  <c r="X39" i="1"/>
  <c r="T40" i="1"/>
  <c r="T41" i="1"/>
  <c r="T42" i="1"/>
  <c r="T43" i="1"/>
  <c r="T44" i="1"/>
  <c r="T45" i="1"/>
  <c r="T46" i="1"/>
  <c r="X34" i="1"/>
  <c r="Y34" i="1" s="1"/>
  <c r="X33" i="1"/>
  <c r="Y33" i="1" s="1"/>
  <c r="X32" i="1"/>
  <c r="Y32" i="1" s="1"/>
  <c r="X31" i="1"/>
  <c r="Y31" i="1" s="1"/>
  <c r="X30" i="1"/>
  <c r="Y30" i="1" s="1"/>
  <c r="X29" i="1"/>
  <c r="Y29" i="1" s="1"/>
  <c r="X28" i="1"/>
  <c r="Y28" i="1" s="1"/>
  <c r="X27" i="1"/>
  <c r="Y27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X19" i="1"/>
  <c r="Y19" i="1" s="1"/>
  <c r="X18" i="1"/>
  <c r="Y18" i="1" s="1"/>
  <c r="X17" i="1"/>
  <c r="Y17" i="1" s="1"/>
  <c r="X16" i="1"/>
  <c r="Y16" i="1" s="1"/>
  <c r="X15" i="1"/>
  <c r="Y15" i="1" s="1"/>
  <c r="Y13" i="1"/>
  <c r="Y12" i="1"/>
  <c r="Y11" i="1"/>
  <c r="Y10" i="1"/>
  <c r="Y9" i="1"/>
  <c r="Y8" i="1"/>
  <c r="Y7" i="1"/>
  <c r="Y6" i="1"/>
  <c r="Y5" i="1"/>
  <c r="L3" i="2"/>
  <c r="R3" i="2" s="1"/>
  <c r="K3" i="2"/>
  <c r="Q3" i="2" s="1"/>
  <c r="J3" i="2"/>
  <c r="P3" i="2" s="1"/>
  <c r="Y4" i="1"/>
  <c r="Y3" i="1"/>
  <c r="S46" i="1"/>
  <c r="S45" i="1"/>
  <c r="S44" i="1"/>
  <c r="S43" i="1"/>
  <c r="S42" i="1"/>
  <c r="S41" i="1"/>
  <c r="S40" i="1"/>
  <c r="S39" i="1"/>
  <c r="T39" i="1" s="1"/>
  <c r="Y44" i="1" l="1"/>
  <c r="Y43" i="1"/>
  <c r="Y41" i="1"/>
  <c r="Y46" i="1"/>
  <c r="Y42" i="1"/>
  <c r="Y39" i="1"/>
  <c r="AA40" i="1"/>
  <c r="Y40" i="1"/>
  <c r="R4" i="1"/>
  <c r="R6" i="1" s="1"/>
  <c r="A1" i="1" l="1"/>
  <c r="B2" i="1"/>
  <c r="O53" i="1"/>
  <c r="O52" i="1"/>
  <c r="I4" i="1"/>
  <c r="N3" i="1"/>
  <c r="T47" i="1" l="1"/>
  <c r="T35" i="1"/>
  <c r="N61" i="1" l="1"/>
  <c r="D60" i="1"/>
  <c r="N60" i="1"/>
  <c r="N59" i="1"/>
  <c r="D61" i="1"/>
  <c r="D59" i="1"/>
  <c r="T49" i="1"/>
  <c r="I7" i="1" s="1"/>
  <c r="O55" i="1" l="1"/>
</calcChain>
</file>

<file path=xl/sharedStrings.xml><?xml version="1.0" encoding="utf-8"?>
<sst xmlns="http://schemas.openxmlformats.org/spreadsheetml/2006/main" count="387" uniqueCount="354">
  <si>
    <t>DATA</t>
  </si>
  <si>
    <t>CONTA RAZÃO</t>
  </si>
  <si>
    <t>CENTRO DE CUSTO</t>
  </si>
  <si>
    <t>MOTIVO OU JUSTIFICATIVA</t>
  </si>
  <si>
    <t>FORMA DE PAGAMENTO</t>
  </si>
  <si>
    <t>QTDE</t>
  </si>
  <si>
    <t>VALOR GASTO</t>
  </si>
  <si>
    <t>DETALHES</t>
  </si>
  <si>
    <t>SUB-TOTAL</t>
  </si>
  <si>
    <t>VALOR KM</t>
  </si>
  <si>
    <t>TOTAL GERAL</t>
  </si>
  <si>
    <t>EMPRESA</t>
  </si>
  <si>
    <t>CNPJ</t>
  </si>
  <si>
    <t>VIA APPIA S.A.</t>
  </si>
  <si>
    <t>52.538.988/0001-40</t>
  </si>
  <si>
    <t>ENDEREÇO</t>
  </si>
  <si>
    <t>Avenida Brig. Faria Lima, 3311 - 1º Andar - Conj 11 - Sala 6 - Itaim Bibi - CEP 04538-133</t>
  </si>
  <si>
    <t>VIA COLINAS</t>
  </si>
  <si>
    <t>03.025.305/0001-46</t>
  </si>
  <si>
    <t>Avenida Plaza, 6 - Jardim Plaza - 1° andar - Itu-SP - CEP: 13302-100</t>
  </si>
  <si>
    <t>VIA NASCENTES</t>
  </si>
  <si>
    <t>08.822.767/0001-08</t>
  </si>
  <si>
    <t>Avenida Joaquim André,361 - Santa Clara - Divinópolis-MG - CEP: 35500-712</t>
  </si>
  <si>
    <t>SOLUCIONA CONSERVAÇÃO</t>
  </si>
  <si>
    <t>19.587.556/0001-54</t>
  </si>
  <si>
    <t>Rod Marechal Rondon, S/N - Canguera - Porto Feliz-SP - CEP: 18540-850</t>
  </si>
  <si>
    <t>VIA SP SERRA</t>
  </si>
  <si>
    <t>50.399.553/0001-37</t>
  </si>
  <si>
    <t>Avenida Brig. Faria Lima, 3311 - 11º Andar - Conj 111 e 112 - Itaim Bibi - CEP 04538-133</t>
  </si>
  <si>
    <t>RODOVIAS DO TIETÊ</t>
  </si>
  <si>
    <t>10.678.505/0001-63</t>
  </si>
  <si>
    <t>TIPOS DE FORMULÁRIOS</t>
  </si>
  <si>
    <t>ESTRATÉGIAS DE APROVAÇÃO</t>
  </si>
  <si>
    <t>ADMINISTRATIVO</t>
  </si>
  <si>
    <t>ALMOXARIFADO</t>
  </si>
  <si>
    <t>COMUNICAÇÕES</t>
  </si>
  <si>
    <t>CONCESSÕES</t>
  </si>
  <si>
    <t>CONSERVA</t>
  </si>
  <si>
    <t>DHO</t>
  </si>
  <si>
    <t>ENGENHARIA</t>
  </si>
  <si>
    <t>FINANCEIRO</t>
  </si>
  <si>
    <t>FROTAS</t>
  </si>
  <si>
    <t>IMPLANTAÇÃO ENG.</t>
  </si>
  <si>
    <t>JURÍDICO</t>
  </si>
  <si>
    <t>MEIO AMBIENTE</t>
  </si>
  <si>
    <t>NEGÓCIOS</t>
  </si>
  <si>
    <t>OPERAÇÃO</t>
  </si>
  <si>
    <t>QSSMA</t>
  </si>
  <si>
    <t>RECURSOS HUMANOS PJ</t>
  </si>
  <si>
    <t>REMUNERAÇÃO E BENEFÍCIOS</t>
  </si>
  <si>
    <t>SOLUCIONA</t>
  </si>
  <si>
    <t>TECNOLOGIA</t>
  </si>
  <si>
    <t>EMPRESAS</t>
  </si>
  <si>
    <t>LISTA</t>
  </si>
  <si>
    <t>CNPJ:</t>
  </si>
  <si>
    <t>EMPRESA:</t>
  </si>
  <si>
    <t>ENDEREÇO:</t>
  </si>
  <si>
    <t>DATA EMISSÃO:</t>
  </si>
  <si>
    <t>APROV.:</t>
  </si>
  <si>
    <t>TIPO:</t>
  </si>
  <si>
    <t>CNPJ / CPF:</t>
  </si>
  <si>
    <t>Nº FORNECEDOR SAP:</t>
  </si>
  <si>
    <t>NÍVEL HIERÁRQUICO:</t>
  </si>
  <si>
    <t>CARTÃO EMPRESA</t>
  </si>
  <si>
    <t>PRÓPRIO</t>
  </si>
  <si>
    <t>CONTA EMPRESA</t>
  </si>
  <si>
    <t>SOLICITANTE:</t>
  </si>
  <si>
    <t>Nº REF:</t>
  </si>
  <si>
    <t>OBSERVAÇÕES</t>
  </si>
  <si>
    <t>IMPOSTOS</t>
  </si>
  <si>
    <t>INSS:</t>
  </si>
  <si>
    <t>ISS:</t>
  </si>
  <si>
    <t>IRRF:</t>
  </si>
  <si>
    <t xml:space="preserve">Alíquota: </t>
  </si>
  <si>
    <t>PIS</t>
  </si>
  <si>
    <t>COFINS</t>
  </si>
  <si>
    <t>CSLL</t>
  </si>
  <si>
    <t>PIS:</t>
  </si>
  <si>
    <t>COFINS:</t>
  </si>
  <si>
    <t>CSLL:</t>
  </si>
  <si>
    <t>INSS</t>
  </si>
  <si>
    <t>ISS</t>
  </si>
  <si>
    <t>IRRF</t>
  </si>
  <si>
    <t>ALÍQUOTA DE IMPOSTOS</t>
  </si>
  <si>
    <t>CONDIÇÃO DE PAGAMENTO</t>
  </si>
  <si>
    <t>VALOR LÍQUIDO:</t>
  </si>
  <si>
    <t>BANCO:</t>
  </si>
  <si>
    <t>AGÊNCIA:</t>
  </si>
  <si>
    <t>CONTA:</t>
  </si>
  <si>
    <t>CHAVE PIX:</t>
  </si>
  <si>
    <t>PAGAMENTO ATRAVÉS DE:</t>
  </si>
  <si>
    <t>TITULAR:</t>
  </si>
  <si>
    <t>TIPO DE CONTA:</t>
  </si>
  <si>
    <t>PGTO ATRAVÉS</t>
  </si>
  <si>
    <t>BOLETO</t>
  </si>
  <si>
    <t>DÉBITO AUTOMÁTICO</t>
  </si>
  <si>
    <t>DEPÓSITO BANCÁRIO</t>
  </si>
  <si>
    <t>GUIA TRIBUTO</t>
  </si>
  <si>
    <t>PIX</t>
  </si>
  <si>
    <t>HIERÁRQUIA</t>
  </si>
  <si>
    <t>DIRETOR EXECUTIVO</t>
  </si>
  <si>
    <t>GERENTE</t>
  </si>
  <si>
    <t>DEMAIS</t>
  </si>
  <si>
    <t>CEO / CFO</t>
  </si>
  <si>
    <t>DATA VENCIMENTO (15 DIAS UTEIS):</t>
  </si>
  <si>
    <t>SOLICITANTE</t>
  </si>
  <si>
    <t>ASSINATURAS E APROVAÇÕES</t>
  </si>
  <si>
    <t>APROVADOR/GESTOR</t>
  </si>
  <si>
    <t>PACOTEIRO</t>
  </si>
  <si>
    <t>E-MAIL:</t>
  </si>
  <si>
    <t>REEMBOLSO DE VIAGENS</t>
  </si>
  <si>
    <t>REEMBOLSO DE BENEFICIOS</t>
  </si>
  <si>
    <t>ENTRADAS FI (PAGAMENTOS)</t>
  </si>
  <si>
    <t>ID_ESTRATEGIA</t>
  </si>
  <si>
    <t>ID_CONTA</t>
  </si>
  <si>
    <t>ESTRATEGIA_VIAGENS</t>
  </si>
  <si>
    <t>ESTRATEGIA_BENEFICIOS</t>
  </si>
  <si>
    <t>ESTRATEGIA_FI</t>
  </si>
  <si>
    <t>CONTA_VIAGENS</t>
  </si>
  <si>
    <t>CONTA_BENEFICIOS</t>
  </si>
  <si>
    <t>CONTA_FI</t>
  </si>
  <si>
    <t>CONTAS CONTÁBEIS</t>
  </si>
  <si>
    <t>4110403002 - CONDUÇÃO, ESTACIONAMENTO E PEDÁGIO</t>
  </si>
  <si>
    <t>4110403003 - LANCHES E REFEIÇÕES</t>
  </si>
  <si>
    <t>4110403027 - ESTADIA E HOTÉIS</t>
  </si>
  <si>
    <t>4110403032 - ALIMENTAÇÃO E DEMAIS CUSTOS DE VIAGENS</t>
  </si>
  <si>
    <t>4110403033 - LOCOMOÇÃO</t>
  </si>
  <si>
    <t>4110103013 - BOLSAS DE ESTUDO</t>
  </si>
  <si>
    <t>4110101001 - SALÁRIOS</t>
  </si>
  <si>
    <t>4110101002 - HORAS EXTRAS</t>
  </si>
  <si>
    <t>4110101003 - PARTICIPAÇÃO NO LUCRO E RESULTADO - PLR</t>
  </si>
  <si>
    <t>4110101004 - ESTAGIÁRIOS</t>
  </si>
  <si>
    <t>4110101005 - ANUÊNIOS</t>
  </si>
  <si>
    <t>4110101006 - ABONO SALARIAL</t>
  </si>
  <si>
    <t>4110101007 - DESCANSO SEMANAL REMUNERADO DSR</t>
  </si>
  <si>
    <t>4110101008 - COMISSÕES</t>
  </si>
  <si>
    <t>4110101009 - PRÊMIOS E GRATIFICAÇÕES</t>
  </si>
  <si>
    <t>4110101010 - ADICIONAL NOTURNO/PLANTÃO</t>
  </si>
  <si>
    <t>4110101011 - ADICIONAL INSALUBRIDADE E PERICULOSIDADE</t>
  </si>
  <si>
    <t>4110101012 - PESSOAL TEMPORÁRIO/PROFISSIONAL LIBERAL</t>
  </si>
  <si>
    <t>4110101013 - AUTÔNOMOS E COOPERATIVADOS</t>
  </si>
  <si>
    <t>4110101014 - MENOR APRENDIZ</t>
  </si>
  <si>
    <t>4110101015 - QUEBRA DE CAIXA</t>
  </si>
  <si>
    <t>4110101016 - AUXILIO DOENÇA</t>
  </si>
  <si>
    <t>4110101017 - AVISO PRÉVIO INDENIZADO</t>
  </si>
  <si>
    <t>4110101018 - FÉRIAS INDENIZADAS</t>
  </si>
  <si>
    <t>4110101019 - 13º SALÁRIO INDENIZAÇÃO</t>
  </si>
  <si>
    <t>4110101999 - OUTROS CUSTOS C/SALÁRIOS E REMUNERAÇÕES</t>
  </si>
  <si>
    <t>4110102001 - PROVISÃO DE 13º SALÁRIO</t>
  </si>
  <si>
    <t>4110102002 - PROVISÃO DE FÉRIAS</t>
  </si>
  <si>
    <t>4110102003 - INSS S/FOLHA DE PAGAMENTO E PRÓ-LABORE</t>
  </si>
  <si>
    <t>4110102004 - FGTS S/FOLHA DE PAGAMENTO</t>
  </si>
  <si>
    <t>4110102005 - RESCISÃO CONTRATUAL</t>
  </si>
  <si>
    <t>4110102006 - SESI/SENAI</t>
  </si>
  <si>
    <t>4110102007 - ABONO PECUNIÁRIO</t>
  </si>
  <si>
    <t>4110102008 - INDENIZAÇÕES TRABALHISTAS</t>
  </si>
  <si>
    <t>4110102009 - PROVISÃO ENCARGOS SOCIAIS S/13º SALÁRIO</t>
  </si>
  <si>
    <t>4110102010 - PROVISÃO ENCARGOS SOCIAIS S/FÉRIAS</t>
  </si>
  <si>
    <t>4110102999 - OUTROS ENCARGOS SOCIAIS E TRABALHISTAS</t>
  </si>
  <si>
    <t>4110103001 - SEGURO DE VIDA EM GRUPO</t>
  </si>
  <si>
    <t>4110103002 - ASSISTÊNCIA MÉDICA</t>
  </si>
  <si>
    <t>4110103003 - ASSISTÊNCIA ODONTOLÓGICA</t>
  </si>
  <si>
    <t>4110103004 - VALE TRANSPORTE</t>
  </si>
  <si>
    <t>4110103005 - VALE REFEIÇÃO</t>
  </si>
  <si>
    <t>4110103006 - VALE ALIMENTAÇÃO / REFEIÇÃO</t>
  </si>
  <si>
    <t>4110103007 - AJUDA DE CUSTO – REAPARELHAMENTO</t>
  </si>
  <si>
    <t>4110103008 - PREVIDÊNCIA PRIVADA BÁSICA</t>
  </si>
  <si>
    <t>4110103009 - PREVIDÊNCIA PRIVADA ADICIONAL</t>
  </si>
  <si>
    <t>4110103010 - PREVIDÊNCIA PRIVADA SUPLEMENTAR</t>
  </si>
  <si>
    <t>4110103011 - AUXILIO CRECHE</t>
  </si>
  <si>
    <t>4110103012 - CONVENIO FARMACIA</t>
  </si>
  <si>
    <t>4110103014 - PROGRAMA DE ALIMENTAÇÃO DO TRABALHADOR (PAT)</t>
  </si>
  <si>
    <t>4110103015 - CESTA BÁSICA</t>
  </si>
  <si>
    <t>4110103016 - AUXÍLIO MORADIA</t>
  </si>
  <si>
    <t>4110103018 - VEÍCULOS DE BENEFÍCIOS - ALUGUEL</t>
  </si>
  <si>
    <t>4110103019 - VEÍCULOS DE BENEFÍCIOS - COMBUSTÍVEIS E LUBRIFICANTES</t>
  </si>
  <si>
    <t>4110103020 - VEÍCULOS DE BENEFÍCIOS - LICENCIAMENTO E IPVA</t>
  </si>
  <si>
    <t>4110103021 - VEÍCULOS DE BENEFÍCIOS - MANUTENÇÃO</t>
  </si>
  <si>
    <t>4110103022 - VEÍCULOS DE BENEFÍCIOS - SEGUROS</t>
  </si>
  <si>
    <t>4110103998 - OUTROS BENEFÍCIOS DEDUTÍVEIS</t>
  </si>
  <si>
    <t>4110103999 - OUTROS BENEFICIOS</t>
  </si>
  <si>
    <t>4110199001 - TREINAMENTO DE PESSOAL</t>
  </si>
  <si>
    <t>4110199002 - MAO-DE-OBRA TEMPORARIA</t>
  </si>
  <si>
    <t>4110199003 - EQUIPAMENTOS PROTEÇÃO INDIVIDUAL (EPI)</t>
  </si>
  <si>
    <t>4110199004 - FUNDO DE PENSÃO</t>
  </si>
  <si>
    <t>4110199005 - HONORÁRIOS DA DIRETORIA</t>
  </si>
  <si>
    <t>4110199006 - HONORÁRIOS DO CONSELHO ADMINISTRAÇÃO</t>
  </si>
  <si>
    <t>4110199007 - HONORÁRIOS DO CONSELHO FISCAL</t>
  </si>
  <si>
    <t>4110199008 - EXAME ADMISSIONAL / DEMISSIONAL</t>
  </si>
  <si>
    <t>4110199009 - MEDICINA DO TRABALHO</t>
  </si>
  <si>
    <t>4110199010 - UNIFORMES E ALOJAMENTOS</t>
  </si>
  <si>
    <t>4110201001 - SERVIÇO DE LIMPEZA</t>
  </si>
  <si>
    <t>4110201002 - SERVIÇO DE VIGILÂNCIA</t>
  </si>
  <si>
    <t>4110201003 - SERVIÇO DE TRANSPORTE DE COLABORADORES</t>
  </si>
  <si>
    <t>4110201004 - SERVIÇO DE RECURSOS HUMANOS</t>
  </si>
  <si>
    <t>4110201005 - FRETES E CARRETOS</t>
  </si>
  <si>
    <t>4110201006 - SERVIÇO DE TRANSPORTES DE VALORES</t>
  </si>
  <si>
    <t>4110201007 - SERVIÇO DE AUDITORIA EXTERNA</t>
  </si>
  <si>
    <t>4110201008 - SERVIÇO DE CONSULTORIA JURÍDICA</t>
  </si>
  <si>
    <t>4110201009 - SERVIÇO DE CONSULTORIA CONTÁBIL FISCAL</t>
  </si>
  <si>
    <t>4110201010 - SERVIÇO DE CONSULTORIA FINANCEIRA</t>
  </si>
  <si>
    <t>4110201011 - SERV.CONSULTORIA TECNOLOGIA INFORMAÇÃO</t>
  </si>
  <si>
    <t>4110201012 - SERVIÇO CONSULTORIA GESTÃO EMPRESARIAL</t>
  </si>
  <si>
    <t>4110201013 - SERVIÇO DE CONSULTORIA DE PESSOAS</t>
  </si>
  <si>
    <t>4110201014 - SERV.CONSULTORIA MARKETING COMUNICAÇÃO</t>
  </si>
  <si>
    <t>4110201015 - SERVIÇO DE CONSULTORIA DE IMPACTO AMBIENTAL</t>
  </si>
  <si>
    <t>4110201016 - SERVICO DE CONSULTORIA DE INFORMATICA</t>
  </si>
  <si>
    <t>4110201017 - SERVIÇO DE COMUNICAÇÃO SOCIAL</t>
  </si>
  <si>
    <t>4110201018 - SERVIÇO DE ASSISTÊNCIA SOCIAL</t>
  </si>
  <si>
    <t>4110201019 - SERVIÇO DE LOGISTICA DE ARQUIVOS</t>
  </si>
  <si>
    <t>4110201021 - SERVIÇO COOPERATIVADOS</t>
  </si>
  <si>
    <t>4110201022 - SERVIÇO DE ANÁLISES TÉCNICAS</t>
  </si>
  <si>
    <t>4110201023 - SERVIÇO DE ENG.,ARQUITETURA E URBANISMO</t>
  </si>
  <si>
    <t>4110201024 - RESSARCIMENTO DE DANOS AO PATRIMONIO</t>
  </si>
  <si>
    <t>4110201025 - SERVIÇO DE AUDITORIA INTERNA</t>
  </si>
  <si>
    <t>4110201026 - SERVIÇO MÉDICOS E ODONTOLÓGICOS</t>
  </si>
  <si>
    <t>4110201027 - SERVIÇO DE CONSULTORIA DE QUALIDADE</t>
  </si>
  <si>
    <t>4110201028 - SERVIÇO DE MANUTENÇÃO DE SOFTWARE</t>
  </si>
  <si>
    <t>4110201029 - SERVIÇO DE CONSULTORIA ENG.E OPERAÇÃO</t>
  </si>
  <si>
    <t>4110201030 - COMITÊ DE TRANSIÇÃO</t>
  </si>
  <si>
    <t>4110201099 - OUTROS SERVICOS DE TERCEIROS - PESSOA JU</t>
  </si>
  <si>
    <t>4110201998 - OUTROS SERV. TERCEIROS - PESSOA JURÍD.-ESTRANGEIRA</t>
  </si>
  <si>
    <t>4110201999 - OUTROS SERVIÇOS TERCEIROS -PJ- NACIONAL</t>
  </si>
  <si>
    <t>4110202001 - SERVIÇO DE GERENCIAMENTO DE MANUTENÇÃO</t>
  </si>
  <si>
    <t>4110202002 - SERVIÇO DE GERENCIAMENTO E CONSERVAÇÃO</t>
  </si>
  <si>
    <t>4110202003 - SERVIÇO DE MANUTENÇÃO E CONSERVAÇÃO DA SINALIZAÇÃO</t>
  </si>
  <si>
    <t>4110202004 - SERVIÇOS DE MANUTENÇÃO ELETRO-ELETRÔNICA</t>
  </si>
  <si>
    <t>4110202005 - SERVIÇO DE MANUTENÇÃO PREDIAL ELÉTRICA</t>
  </si>
  <si>
    <t>4110202006 - SERV.CONS.DISP.E ELEMENTOS DE SEGURANÇA</t>
  </si>
  <si>
    <t>4110202007 - SERVIÇO DE DRENAGEM</t>
  </si>
  <si>
    <t>4110202008 - SERV.CONSERVAÇÃO REVESTIMENTO VEGETAL</t>
  </si>
  <si>
    <t>4110202009 - SERVIÇO DE CONSERVAÇÃO DE OBRAS DE ARTE CORRENTES</t>
  </si>
  <si>
    <t>4110202010 - SERVIÇO DE CONS. DE TRANSCEPTORES FIXOS, MOV. PORT</t>
  </si>
  <si>
    <t>4110202011 - SERVIÇO CONS.PAVIMENTO(FLEXIVEL/RIGIDO)</t>
  </si>
  <si>
    <t>4110202012 - SERVIÇO DE INSPEÇÃO DE TRÁFEGO</t>
  </si>
  <si>
    <t>4110202013 - SERVIÇO DE CONSULTORIA DE TRÁFEGO</t>
  </si>
  <si>
    <t>4110202014 - SERV.GESTÃO OPERAC.E ADMINIST.DO AVI/VISA E OUTROS</t>
  </si>
  <si>
    <t>4110202015 - SERVIÇO DE GUINCHO</t>
  </si>
  <si>
    <t>4110202016 - ATENDIMENTO PRÉ-HOSPITALAR</t>
  </si>
  <si>
    <t>4110202017 - SERVIÇO DE REMOÇÃO DE LIXO E ENTULHO</t>
  </si>
  <si>
    <t>4110202018 - SERVIÇO DE CONSERVAÇÃO DE PARADA DE ÔNIBUS E MONUMENTOS</t>
  </si>
  <si>
    <t>4110202019 - PONTES, VIADUTOS, TÚNEIS E PASSARELAS</t>
  </si>
  <si>
    <t>4110202020 - SERVIÇO DE TERRAPLANAGEM, EROSÕES E CONTENÇÕES</t>
  </si>
  <si>
    <t>4110202021 - SERVIÇO DE LIMPEZA (MANUAL E MECANICA)</t>
  </si>
  <si>
    <t>4110202022 - SERVIÇOS DE MANUTENÇÃO PREDIAL</t>
  </si>
  <si>
    <t>4110202023 - APREENSÃO DE ANIMAIS</t>
  </si>
  <si>
    <t>4110202024 - SERVIÇOS DE OPERAÇÃO DE BALANÇAS</t>
  </si>
  <si>
    <t>4110202025 - SERVIÇOS DE ARRECADAÇÃO</t>
  </si>
  <si>
    <t>4110202026 - SERVIÇOS DE CAMINHÃO E PIPA</t>
  </si>
  <si>
    <t>4110202999 - DESPESAS RECUPERADAS</t>
  </si>
  <si>
    <t>4110203001 - AUTÔNOMOS</t>
  </si>
  <si>
    <t>4110203002 - INSS AUTÔNOMOS</t>
  </si>
  <si>
    <t>4110204001 - SERVIÇOS DE TERCEIROS - PF - ESTRANGEIRA</t>
  </si>
  <si>
    <t>4110299001 - OUTROS PRESTADORES DE SERVIÇOS</t>
  </si>
  <si>
    <t>4110299002 - SERVIÇOS ESPECIALIZADOS DE PJ</t>
  </si>
  <si>
    <t>4110301001 - MATERIAL DE LIMPEZA</t>
  </si>
  <si>
    <t>4110301002 - MATERIAL DE ESCRITÓRIO</t>
  </si>
  <si>
    <t>4110301003 - MATERIAL DE SEGURANÇA</t>
  </si>
  <si>
    <t>4110301004 - MATERIAL DE INFORMÁTICA</t>
  </si>
  <si>
    <t>4110301005 - MATERIAL PARA MANUTENÇÃO E CONSERVA DA RODOVIA</t>
  </si>
  <si>
    <t>4110301006 - FERRAGENS E FERRAMENTAS</t>
  </si>
  <si>
    <t>4110301007 - CONSUMÍVEIS OPERACIONAIS</t>
  </si>
  <si>
    <t>4110301008 - CORREÇÃO DE ESTOQUE</t>
  </si>
  <si>
    <t>4110301009 - UNIFORMES E ALOJAMENTOS</t>
  </si>
  <si>
    <t>4110301010 - MATERIAL DE ÁUDIO, VÍDEO E COMUNICAÇÃO</t>
  </si>
  <si>
    <t>4110301011 - MATERIAL DE CONSUMO E COPA/COZINHA</t>
  </si>
  <si>
    <t>4110301012 - MATERIAL DE SINALIZAÇÃO</t>
  </si>
  <si>
    <t>4110302001 - MATERIAIS DE MANUTENÇÃO PREDIAL</t>
  </si>
  <si>
    <t>4110302002 - MANUTENÇÃO DE EQUIPAMENTOS E ACESSÓRIOS</t>
  </si>
  <si>
    <t>4110302003 - MANUTENÇÃO DE INSTALAÇÕES</t>
  </si>
  <si>
    <t>4110302004 - SEGUROS DE EQUIPAMENTOS</t>
  </si>
  <si>
    <t>4110302005 - MÁQUINAS E EQUIPAMENTOS DE PEQUENO VALOR</t>
  </si>
  <si>
    <t>4110302006 - ALUGUEL MAQS.EQUIPS,ESTRUTURAS/OUTROS</t>
  </si>
  <si>
    <t>4110302007 - ARRENDAMENTO OPERACIONAL</t>
  </si>
  <si>
    <t>4110303001 - VEÍCULOS OPERACIONAIS - MANUTENÇÃO</t>
  </si>
  <si>
    <t>4110303002 - VEÍCULOS OPERACIONAIS - ALUGUEL</t>
  </si>
  <si>
    <t>4110303003 - VEÍCULOS OPERACIONAIS - COMBUSTÍVEIS E LUBRIFICANTES</t>
  </si>
  <si>
    <t>4110303004 - IPVA</t>
  </si>
  <si>
    <t>4110303005 - VEÍCULOS OPERACIONAIS - SEGUROS</t>
  </si>
  <si>
    <t>4110303006 - VEÍCULOS OPERACIONAIS - LICENCIAMENTO E IPVA</t>
  </si>
  <si>
    <t>4110303007 - DESPACHANTE</t>
  </si>
  <si>
    <t>4110303008 - IMPACTO DO IFRS16 SOBRE ALUGUÉIS DE VEÍCULOS</t>
  </si>
  <si>
    <t>4110401001 - ENERGIA ELÉTRICA</t>
  </si>
  <si>
    <t>4110401002 - ÁGUA</t>
  </si>
  <si>
    <t>4110401003 - TELEFONIA FIXA E CELULAR</t>
  </si>
  <si>
    <t>4110401004 - COMUNICAÇÃO DE DADOS - INTERNET</t>
  </si>
  <si>
    <t>4110401005 - GÁS</t>
  </si>
  <si>
    <t>4110402001 - ALUGUEL DE IMÓVEIS E CONDOMÍNIOS</t>
  </si>
  <si>
    <t>4110402002 - IPTU</t>
  </si>
  <si>
    <t>4110402003 - SEGUROS DE IMÓVEIS</t>
  </si>
  <si>
    <t>4110402004 - IMPACTO DO IFRS16 SOBRE ALUGUÉIS DE IMÓVEIS</t>
  </si>
  <si>
    <t>4110403001 - REPRODUÇÕES E ENCADERNAÇÕES</t>
  </si>
  <si>
    <t>4110403004 - CORREIO, MALOTE E TRANSPORTE DE CORRESPONDÊNCIA</t>
  </si>
  <si>
    <t>4110403005 - FOTOS, FILMES E SLIDES</t>
  </si>
  <si>
    <t>4110403006 - SERVIÇOS GRÁFICOS</t>
  </si>
  <si>
    <t>4110403008 - MULTAS E OUTRAS DESPESAS INDEDUTÍVEIS</t>
  </si>
  <si>
    <t>4110403009 - AMOSTRAS, DONATIVOS E BRINDES</t>
  </si>
  <si>
    <t>4110403010 - DOAÇÕES (DEDUTÍVEIS)</t>
  </si>
  <si>
    <t>4110403011 - ASSINATURAS JORNAIS, REV.,TV CABO E PERIÓDICOS</t>
  </si>
  <si>
    <t>4110403012 - ASSOCIAÇÕES CLASSE- CONT.SIND. PATRONAL</t>
  </si>
  <si>
    <t>4110403013 - LEGAIS E JUDICIAIS</t>
  </si>
  <si>
    <t>4110602001 - CÍVEIS - CONDENAÇÕES</t>
  </si>
  <si>
    <t>4110602002 - TRIBUTÁRIAS - CONDENAÇÕES</t>
  </si>
  <si>
    <t>4110602003 - TRABALHISTAS INTERNOS - CONDENAÇÕES</t>
  </si>
  <si>
    <t>4110602004 - DEMAIS CAUSAS - CONDENAÇÕES</t>
  </si>
  <si>
    <t>4110602010 - TRABALHISTAS EXTERNOS - CONDENAÇÕES</t>
  </si>
  <si>
    <t>4110403014 - INDENIZAÇÕES A TERCEIROS SEM PROVISÕES</t>
  </si>
  <si>
    <t>4110403015 - COMISSÕES E REPRESENTAÇÕES (PJ)</t>
  </si>
  <si>
    <t>4110403016 - SEGUROS DIVERSOS</t>
  </si>
  <si>
    <t>4110403018 - EVENTOS, FEIRAS E CONGRESSO</t>
  </si>
  <si>
    <t>4110403019 - FESTAS E CONFRATERNIZAÇÕES</t>
  </si>
  <si>
    <t>4110403020 - PERDAS POR ROUBO</t>
  </si>
  <si>
    <t>4110403021 - PROVISÃO PARA PERDAS EM INCENTIVOS FISCAIS</t>
  </si>
  <si>
    <t>4110403022 - DOAÇÃO FUNDO MUNICIPAL DA CRIANÇA E DO ADOLESCENTE</t>
  </si>
  <si>
    <t>4110403023 - PROJETOS LEI ROUANET</t>
  </si>
  <si>
    <t>4110403024 - DOAÇÕES PARA OSCIP – LEI 9790/99</t>
  </si>
  <si>
    <t>4110403025 - INCENTIVOS AO ESPORTE – LEI 11.438/06</t>
  </si>
  <si>
    <t>4110403026 - CONTRIBUIÇÕES E DOAÇÕES ÀS INSTITUIÇÕES – DEDUTÍVEIS</t>
  </si>
  <si>
    <t>4110403028 - IMPOSTOS, TAXAS E DESPESAS COM CARTÓRIO</t>
  </si>
  <si>
    <t>4110403029 - RESSARCIMENTO AO USUÁRIO</t>
  </si>
  <si>
    <t>4110403030 - PUBLIC.(BAL.,ATAS,CONV.,DEM.FINANC,ETC)</t>
  </si>
  <si>
    <t>4110403031 - MULTAS DO CONTRATO DE CONCESSÃO</t>
  </si>
  <si>
    <t>4110404001 - CAMPANHAS E EVENTOS PROMOCIONAIS</t>
  </si>
  <si>
    <t>4110404002 - VEÍC.COM.-REVISTAS,JORNAIS,TV,FOLHETOS E PANFLETOS</t>
  </si>
  <si>
    <t>4110404003 - PAINÉIS E FAIXAS</t>
  </si>
  <si>
    <t>4110404004 - PATROCÍNIOS</t>
  </si>
  <si>
    <t>4110499001 - OUTROS GASTOS GERAIS</t>
  </si>
  <si>
    <t>Rod Comendador Mario Dedini, Km 108+600 - Salto-SP - CEP: 13320-970</t>
  </si>
  <si>
    <t>Empresa</t>
  </si>
  <si>
    <t>Solicitante</t>
  </si>
  <si>
    <t>E-mail</t>
  </si>
  <si>
    <t>Tipo</t>
  </si>
  <si>
    <t>Estrategia</t>
  </si>
  <si>
    <t>Nome</t>
  </si>
  <si>
    <t>CPF</t>
  </si>
  <si>
    <t>Nivel</t>
  </si>
  <si>
    <t>Fornecedor</t>
  </si>
  <si>
    <t>N/A</t>
  </si>
  <si>
    <t>GERENTE EXECUTIVO</t>
  </si>
  <si>
    <t>REEMBOLSO DE QUILOMETRAGEM</t>
  </si>
  <si>
    <t>TIPO CONTA</t>
  </si>
  <si>
    <t>CORRENTE</t>
  </si>
  <si>
    <t>CARTÃO DE CRÉDITO</t>
  </si>
  <si>
    <t>DEB. AUTORIZADO C/C</t>
  </si>
  <si>
    <t>POUPANÇA</t>
  </si>
  <si>
    <t>FORMULÁRIO FI - VERSÃO 1.1 - REVISÃO 28/07/2025</t>
  </si>
  <si>
    <t>ESTRATEGIA_EX</t>
  </si>
  <si>
    <t>CONTA_EX</t>
  </si>
  <si>
    <t>4110403033 - LOCOMOÇÃO (PASSAGEM AÉREA)</t>
  </si>
  <si>
    <t>4110403032 - ALIMENTAÇÃO EM VIAGENS</t>
  </si>
  <si>
    <t>ENTRADAS FI (TRIBUTOS/ENCARGOS)</t>
  </si>
  <si>
    <t>ENTRADAS FI (GUIAS JUDICIAIS)</t>
  </si>
  <si>
    <t>CONTA_JU</t>
  </si>
  <si>
    <t>ESTRATEGIA_JU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</si>
</sst>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;[Red]\(#,##0.00\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EE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2"/>
      <color rgb="FFEE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/>
      <top/>
      <bottom style="dotted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theme="0" tint="-0.149967955565050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07">
    <xf numFmtId="0" fontId="0" fillId="0" borderId="0" xfId="0"/>
    <xf numFmtId="0" fontId="6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left" vertical="center" indent="1"/>
      <protection hidden="1"/>
    </xf>
    <xf numFmtId="0" fontId="4" fillId="4" borderId="1" xfId="0" applyFont="1" applyFill="1" applyBorder="1" applyAlignment="1" applyProtection="1">
      <alignment horizontal="center" vertical="center" wrapText="1"/>
      <protection hidden="1"/>
    </xf>
    <xf numFmtId="164" fontId="6" fillId="0" borderId="1" xfId="0" applyNumberFormat="1" applyFont="1" applyBorder="1" applyAlignment="1" applyProtection="1">
      <alignment horizontal="center" vertical="center"/>
      <protection hidden="1"/>
    </xf>
    <xf numFmtId="43" fontId="8" fillId="0" borderId="0" xfId="1" applyFont="1" applyAlignment="1" applyProtection="1">
      <alignment vertical="center"/>
      <protection hidden="1"/>
    </xf>
    <xf numFmtId="164" fontId="6" fillId="0" borderId="0" xfId="0" applyNumberFormat="1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 indent="1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4" fillId="0" borderId="2" xfId="0" applyFont="1" applyBorder="1" applyAlignment="1" applyProtection="1">
      <alignment horizontal="left" vertical="center" indent="1"/>
      <protection hidden="1"/>
    </xf>
    <xf numFmtId="0" fontId="6" fillId="0" borderId="2" xfId="0" applyFont="1" applyBorder="1" applyAlignment="1" applyProtection="1">
      <alignment vertical="center"/>
      <protection hidden="1"/>
    </xf>
    <xf numFmtId="0" fontId="6" fillId="0" borderId="13" xfId="0" applyFont="1" applyBorder="1" applyAlignment="1" applyProtection="1">
      <alignment vertical="center"/>
      <protection hidden="1"/>
    </xf>
    <xf numFmtId="0" fontId="6" fillId="0" borderId="7" xfId="0" applyFont="1" applyBorder="1" applyAlignment="1" applyProtection="1">
      <alignment vertical="center"/>
      <protection hidden="1"/>
    </xf>
    <xf numFmtId="0" fontId="4" fillId="0" borderId="3" xfId="0" applyFont="1" applyBorder="1" applyAlignment="1" applyProtection="1">
      <alignment horizontal="left" vertical="center" indent="1"/>
      <protection hidden="1"/>
    </xf>
    <xf numFmtId="0" fontId="4" fillId="0" borderId="3" xfId="0" applyFont="1" applyBorder="1" applyAlignment="1" applyProtection="1">
      <alignment horizontal="left" vertical="center"/>
      <protection hidden="1"/>
    </xf>
    <xf numFmtId="0" fontId="6" fillId="0" borderId="3" xfId="0" applyFont="1" applyBorder="1" applyAlignment="1" applyProtection="1">
      <alignment vertical="center"/>
      <protection hidden="1"/>
    </xf>
    <xf numFmtId="0" fontId="6" fillId="0" borderId="14" xfId="0" applyFont="1" applyBorder="1" applyAlignment="1" applyProtection="1">
      <alignment vertical="center"/>
      <protection hidden="1"/>
    </xf>
    <xf numFmtId="0" fontId="6" fillId="0" borderId="11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6" fillId="0" borderId="10" xfId="0" applyFont="1" applyBorder="1" applyAlignment="1" applyProtection="1">
      <alignment vertical="center"/>
      <protection hidden="1"/>
    </xf>
    <xf numFmtId="0" fontId="6" fillId="0" borderId="12" xfId="0" applyFont="1" applyBorder="1" applyAlignment="1" applyProtection="1">
      <alignment vertical="center"/>
      <protection hidden="1"/>
    </xf>
    <xf numFmtId="0" fontId="4" fillId="0" borderId="2" xfId="0" applyFont="1" applyBorder="1" applyAlignment="1" applyProtection="1">
      <alignment horizontal="left" vertical="center"/>
      <protection hidden="1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 indent="1"/>
      <protection hidden="1"/>
    </xf>
    <xf numFmtId="0" fontId="0" fillId="0" borderId="0" xfId="0" applyAlignment="1" applyProtection="1">
      <alignment vertical="center"/>
      <protection hidden="1"/>
    </xf>
    <xf numFmtId="0" fontId="2" fillId="3" borderId="8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10" fontId="0" fillId="0" borderId="8" xfId="2" applyNumberFormat="1" applyFont="1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vertical="center"/>
      <protection hidden="1"/>
    </xf>
    <xf numFmtId="10" fontId="0" fillId="0" borderId="15" xfId="2" applyNumberFormat="1" applyFont="1" applyBorder="1" applyAlignment="1" applyProtection="1">
      <alignment horizontal="center" vertical="center"/>
      <protection hidden="1"/>
    </xf>
    <xf numFmtId="10" fontId="0" fillId="0" borderId="0" xfId="2" applyNumberFormat="1" applyFont="1" applyBorder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left" vertical="center" indent="1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4" fillId="4" borderId="4" xfId="0" applyFont="1" applyFill="1" applyBorder="1" applyAlignment="1" applyProtection="1">
      <alignment horizontal="center" vertical="center" wrapText="1"/>
      <protection hidden="1"/>
    </xf>
    <xf numFmtId="0" fontId="4" fillId="4" borderId="6" xfId="0" applyFont="1" applyFill="1" applyBorder="1" applyAlignment="1" applyProtection="1">
      <alignment horizontal="center" vertical="center" wrapText="1"/>
      <protection hidden="1"/>
    </xf>
    <xf numFmtId="0" fontId="4" fillId="4" borderId="5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14" fontId="5" fillId="0" borderId="1" xfId="0" applyNumberFormat="1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left" vertical="center" indent="1"/>
      <protection locked="0"/>
    </xf>
    <xf numFmtId="0" fontId="6" fillId="0" borderId="6" xfId="0" applyFont="1" applyBorder="1" applyAlignment="1" applyProtection="1">
      <alignment horizontal="left" vertical="center" indent="1"/>
      <protection locked="0"/>
    </xf>
    <xf numFmtId="0" fontId="6" fillId="0" borderId="5" xfId="0" applyFont="1" applyBorder="1" applyAlignment="1" applyProtection="1">
      <alignment horizontal="left" vertical="center" indent="1"/>
      <protection locked="0"/>
    </xf>
    <xf numFmtId="164" fontId="4" fillId="4" borderId="4" xfId="1" applyNumberFormat="1" applyFont="1" applyFill="1" applyBorder="1" applyAlignment="1" applyProtection="1">
      <alignment horizontal="center" vertical="center"/>
      <protection hidden="1"/>
    </xf>
    <xf numFmtId="164" fontId="4" fillId="4" borderId="5" xfId="1" applyNumberFormat="1" applyFont="1" applyFill="1" applyBorder="1" applyAlignment="1" applyProtection="1">
      <alignment horizontal="center" vertical="center"/>
      <protection hidden="1"/>
    </xf>
    <xf numFmtId="0" fontId="4" fillId="4" borderId="4" xfId="0" applyFont="1" applyFill="1" applyBorder="1" applyAlignment="1" applyProtection="1">
      <alignment horizontal="center" vertical="center"/>
      <protection hidden="1"/>
    </xf>
    <xf numFmtId="0" fontId="4" fillId="4" borderId="6" xfId="0" applyFont="1" applyFill="1" applyBorder="1" applyAlignment="1" applyProtection="1">
      <alignment horizontal="center" vertical="center"/>
      <protection hidden="1"/>
    </xf>
    <xf numFmtId="0" fontId="4" fillId="4" borderId="5" xfId="0" applyFont="1" applyFill="1" applyBorder="1" applyAlignment="1" applyProtection="1">
      <alignment horizontal="center" vertical="center"/>
      <protection hidden="1"/>
    </xf>
    <xf numFmtId="164" fontId="6" fillId="0" borderId="1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left" vertical="center"/>
      <protection locked="0"/>
    </xf>
    <xf numFmtId="0" fontId="12" fillId="5" borderId="1" xfId="3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indent="1"/>
      <protection hidden="1"/>
    </xf>
    <xf numFmtId="0" fontId="5" fillId="5" borderId="4" xfId="0" applyFont="1" applyFill="1" applyBorder="1" applyAlignment="1" applyProtection="1">
      <alignment horizontal="left" vertical="center" indent="1"/>
      <protection locked="0"/>
    </xf>
    <xf numFmtId="0" fontId="5" fillId="5" borderId="6" xfId="0" applyFont="1" applyFill="1" applyBorder="1" applyAlignment="1" applyProtection="1">
      <alignment horizontal="left" vertical="center" indent="1"/>
      <protection locked="0"/>
    </xf>
    <xf numFmtId="0" fontId="5" fillId="5" borderId="5" xfId="0" applyFont="1" applyFill="1" applyBorder="1" applyAlignment="1" applyProtection="1">
      <alignment horizontal="left" vertical="center" indent="1"/>
      <protection locked="0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14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inden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left" vertical="center" indent="1"/>
      <protection locked="0"/>
    </xf>
    <xf numFmtId="0" fontId="4" fillId="0" borderId="6" xfId="0" applyFont="1" applyBorder="1" applyAlignment="1" applyProtection="1">
      <alignment horizontal="left" vertical="center" indent="1"/>
      <protection locked="0"/>
    </xf>
    <xf numFmtId="0" fontId="4" fillId="0" borderId="5" xfId="0" applyFont="1" applyBorder="1" applyAlignment="1" applyProtection="1">
      <alignment horizontal="left" vertical="center" indent="1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10" fontId="5" fillId="0" borderId="3" xfId="2" applyNumberFormat="1" applyFont="1" applyBorder="1" applyAlignment="1" applyProtection="1">
      <alignment horizontal="center" vertical="center"/>
      <protection locked="0"/>
    </xf>
    <xf numFmtId="10" fontId="5" fillId="0" borderId="0" xfId="2" applyNumberFormat="1" applyFont="1" applyBorder="1" applyAlignment="1" applyProtection="1">
      <alignment horizontal="center" vertical="center"/>
      <protection locked="0"/>
    </xf>
    <xf numFmtId="10" fontId="5" fillId="0" borderId="2" xfId="2" applyNumberFormat="1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left" vertical="center" indent="1"/>
      <protection hidden="1"/>
    </xf>
    <xf numFmtId="0" fontId="4" fillId="0" borderId="0" xfId="0" applyFont="1" applyAlignment="1" applyProtection="1">
      <alignment horizontal="left" vertical="center" indent="1"/>
      <protection hidden="1"/>
    </xf>
    <xf numFmtId="164" fontId="5" fillId="0" borderId="3" xfId="0" applyNumberFormat="1" applyFont="1" applyBorder="1" applyAlignment="1" applyProtection="1">
      <alignment horizontal="center" vertical="center"/>
      <protection hidden="1"/>
    </xf>
    <xf numFmtId="164" fontId="5" fillId="0" borderId="0" xfId="0" applyNumberFormat="1" applyFont="1" applyAlignment="1" applyProtection="1">
      <alignment horizontal="center" vertical="center"/>
      <protection hidden="1"/>
    </xf>
    <xf numFmtId="164" fontId="5" fillId="0" borderId="2" xfId="0" applyNumberFormat="1" applyFont="1" applyBorder="1" applyAlignment="1" applyProtection="1">
      <alignment horizontal="center" vertical="center"/>
      <protection hidden="1"/>
    </xf>
    <xf numFmtId="164" fontId="5" fillId="0" borderId="0" xfId="1" applyNumberFormat="1" applyFont="1" applyBorder="1" applyAlignment="1" applyProtection="1">
      <alignment horizontal="center" vertical="center"/>
      <protection hidden="1"/>
    </xf>
    <xf numFmtId="164" fontId="5" fillId="0" borderId="2" xfId="1" applyNumberFormat="1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left" vertical="center" indent="1"/>
      <protection locked="0"/>
    </xf>
    <xf numFmtId="0" fontId="4" fillId="0" borderId="12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center" indent="1"/>
      <protection hidden="1"/>
    </xf>
    <xf numFmtId="0" fontId="5" fillId="0" borderId="5" xfId="0" applyFont="1" applyBorder="1" applyAlignment="1" applyProtection="1">
      <alignment horizontal="left" vertical="center" indent="1"/>
      <protection hidden="1"/>
    </xf>
    <xf numFmtId="0" fontId="5" fillId="0" borderId="2" xfId="0" applyFont="1" applyBorder="1" applyAlignment="1" applyProtection="1">
      <alignment horizontal="left" vertical="center" indent="1"/>
      <protection hidden="1"/>
    </xf>
    <xf numFmtId="0" fontId="5" fillId="0" borderId="13" xfId="0" applyFont="1" applyBorder="1" applyAlignment="1" applyProtection="1">
      <alignment horizontal="left" vertical="center" indent="1"/>
      <protection hidden="1"/>
    </xf>
    <xf numFmtId="0" fontId="5" fillId="0" borderId="13" xfId="0" applyFont="1" applyBorder="1" applyAlignment="1" applyProtection="1">
      <alignment horizontal="left" vertical="center" indent="1"/>
      <protection locked="0"/>
    </xf>
    <xf numFmtId="0" fontId="4" fillId="0" borderId="12" xfId="0" applyFont="1" applyBorder="1" applyAlignment="1" applyProtection="1">
      <alignment horizontal="left" vertical="center" indent="1"/>
      <protection hidden="1"/>
    </xf>
    <xf numFmtId="0" fontId="4" fillId="0" borderId="2" xfId="0" applyFont="1" applyBorder="1" applyAlignment="1" applyProtection="1">
      <alignment horizontal="left" vertical="center" indent="1"/>
      <protection hidden="1"/>
    </xf>
    <xf numFmtId="0" fontId="2" fillId="3" borderId="9" xfId="0" applyFont="1" applyFill="1" applyBorder="1" applyAlignment="1" applyProtection="1">
      <alignment horizontal="center" vertical="center"/>
      <protection hidden="1"/>
    </xf>
    <xf numFmtId="0" fontId="2" fillId="3" borderId="8" xfId="0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horizontal="center" vertical="center"/>
      <protection hidden="1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1">
    <dxf>
      <font>
        <b/>
        <i val="0"/>
        <color rgb="FFEE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123823</xdr:colOff>
      <xdr:row>2</xdr:row>
      <xdr:rowOff>181770</xdr:rowOff>
    </xdr:from>
    <xdr:to>
      <xdr:col>5</xdr:col>
      <xdr:colOff>584200</xdr:colOff>
      <xdr:row>6</xdr:row>
      <xdr:rowOff>191059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042599E-A57F-1915-1B3D-F9EEC4A78F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05" r="9756"/>
        <a:stretch>
          <a:fillRect/>
        </a:stretch>
      </xdr:blipFill>
      <xdr:spPr>
        <a:xfrm>
          <a:off x="301623" y="334170"/>
          <a:ext cx="3305177" cy="1279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Via Appia">
  <a:themeElements>
    <a:clrScheme name="Via Appia - Paleta">
      <a:dk1>
        <a:srgbClr val="18191A"/>
      </a:dk1>
      <a:lt1>
        <a:srgbClr val="FFFFFF"/>
      </a:lt1>
      <a:dk2>
        <a:srgbClr val="3F3F3F"/>
      </a:dk2>
      <a:lt2>
        <a:srgbClr val="74797C"/>
      </a:lt2>
      <a:accent1>
        <a:srgbClr val="1B5D5D"/>
      </a:accent1>
      <a:accent2>
        <a:srgbClr val="656766"/>
      </a:accent2>
      <a:accent3>
        <a:srgbClr val="042660"/>
      </a:accent3>
      <a:accent4>
        <a:srgbClr val="3CA3A6"/>
      </a:accent4>
      <a:accent5>
        <a:srgbClr val="FF5400"/>
      </a:accent5>
      <a:accent6>
        <a:srgbClr val="BFBFBF"/>
      </a:accent6>
      <a:hlink>
        <a:srgbClr val="3F3F3F"/>
      </a:hlink>
      <a:folHlink>
        <a:srgbClr val="74797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DB54-2729-4D26-98D5-6B884FD1A3B1}">
  <sheetPr codeName="Planilha1">
    <pageSetUpPr fitToPage="1"/>
  </sheetPr>
  <dimension ref="A1:AB76"/>
  <sheetViews>
    <sheetView showGridLines="0" tabSelected="1" zoomScale="40" zoomScaleNormal="40" workbookViewId="0">
      <selection activeCell="R6" sqref="R6:U6"/>
    </sheetView>
  </sheetViews>
  <sheetFormatPr defaultColWidth="0" defaultRowHeight="25" customHeight="1" zeroHeight="1" x14ac:dyDescent="0.35"/>
  <cols>
    <col min="1" max="1" width="2.7265625" style="1" customWidth="1"/>
    <col min="2" max="21" width="10.7265625" style="1" customWidth="1"/>
    <col min="22" max="22" width="2.7265625" style="1" customWidth="1"/>
    <col min="23" max="23" width="22" style="1" hidden="1" customWidth="1"/>
    <col min="24" max="24" width="12" style="2" hidden="1" customWidth="1"/>
    <col min="25" max="25" width="22" style="2" hidden="1" customWidth="1"/>
    <col min="26" max="28" width="0" style="1" hidden="1" customWidth="1"/>
    <col min="29" max="16384" width="10.7265625" style="1" hidden="1"/>
  </cols>
  <sheetData>
    <row r="1" spans="1:25" ht="12.65" customHeight="1" x14ac:dyDescent="0.35">
      <c r="A1" s="26" t="str">
        <f>IF(SUM(Y5:Y46)&gt;0,"X","")</f>
        <v>X</v>
      </c>
    </row>
    <row r="2" spans="1:25" ht="25" customHeight="1" x14ac:dyDescent="0.35">
      <c r="B2" s="38" t="str">
        <f>IF(SUM(Y5:Y46)&gt;0,"Atenção: Campos obrigatórios sem preenchimento","")</f>
        <v>Atenção: Campos obrigatórios sem preenchimento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5" ht="25" customHeight="1" x14ac:dyDescent="0.35">
      <c r="G3" s="61" t="s">
        <v>55</v>
      </c>
      <c r="H3" s="61"/>
      <c r="I3" s="57" t="s">
        <v>13</v>
      </c>
      <c r="J3" s="57"/>
      <c r="K3" s="57"/>
      <c r="L3" s="57"/>
      <c r="M3" s="3" t="s">
        <v>54</v>
      </c>
      <c r="N3" s="58" t="str">
        <f>IF(I3="","",_xlfn.XLOOKUP(I3,CAD!B:B,CAD!C:C,""))</f>
        <v>52.538.988/0001-40</v>
      </c>
      <c r="O3" s="58"/>
      <c r="P3" s="58"/>
      <c r="Q3" s="58"/>
      <c r="R3" s="46" t="s">
        <v>57</v>
      </c>
      <c r="S3" s="46"/>
      <c r="T3" s="46"/>
      <c r="U3" s="46"/>
      <c r="Y3" s="2" t="str">
        <f>_xlfn.XLOOKUP(N7,CAD!F:F,CAD!G:G,"")</f>
        <v>ESTRATEGIA_JU</v>
      </c>
    </row>
    <row r="4" spans="1:25" ht="25" customHeight="1" x14ac:dyDescent="0.35">
      <c r="G4" s="61" t="s">
        <v>56</v>
      </c>
      <c r="H4" s="61"/>
      <c r="I4" s="67" t="str">
        <f>IF(I3="","",_xlfn.XLOOKUP(I3,CAD!B:B,CAD!D:D,""))</f>
        <v>Avenida Brig. Faria Lima, 3311 - 1º Andar - Conj 11 - Sala 6 - Itaim Bibi - CEP 04538-133</v>
      </c>
      <c r="J4" s="67"/>
      <c r="K4" s="67"/>
      <c r="L4" s="67"/>
      <c r="M4" s="67"/>
      <c r="N4" s="67"/>
      <c r="O4" s="67"/>
      <c r="P4" s="67"/>
      <c r="Q4" s="67"/>
      <c r="R4" s="47">
        <f ca="1">TODAY()</f>
        <v>46077</v>
      </c>
      <c r="S4" s="47"/>
      <c r="T4" s="47"/>
      <c r="U4" s="47"/>
      <c r="Y4" s="2" t="str">
        <f>_xlfn.XLOOKUP(N7,CAD!F:F,CAD!H:H,"")</f>
        <v>CONTA_JU</v>
      </c>
    </row>
    <row r="5" spans="1:25" ht="25" customHeight="1" x14ac:dyDescent="0.35">
      <c r="G5" s="61" t="s">
        <v>66</v>
      </c>
      <c r="H5" s="61"/>
      <c r="I5" s="59"/>
      <c r="J5" s="59"/>
      <c r="K5" s="59"/>
      <c r="L5" s="59"/>
      <c r="M5" s="59"/>
      <c r="N5" s="59"/>
      <c r="O5" s="59"/>
      <c r="P5" s="59"/>
      <c r="Q5" s="59"/>
      <c r="R5" s="46" t="s">
        <v>104</v>
      </c>
      <c r="S5" s="46"/>
      <c r="T5" s="46"/>
      <c r="U5" s="46"/>
      <c r="X5" s="2" t="s">
        <v>328</v>
      </c>
      <c r="Y5" s="2">
        <f>IF(I3="",1,0)</f>
        <v>0</v>
      </c>
    </row>
    <row r="6" spans="1:25" ht="25" customHeight="1" x14ac:dyDescent="0.35">
      <c r="G6" s="61" t="s">
        <v>109</v>
      </c>
      <c r="H6" s="61"/>
      <c r="I6" s="60"/>
      <c r="J6" s="59"/>
      <c r="K6" s="59"/>
      <c r="L6" s="59"/>
      <c r="M6" s="59"/>
      <c r="N6" s="59"/>
      <c r="O6" s="59"/>
      <c r="P6" s="59"/>
      <c r="Q6" s="59"/>
      <c r="R6" s="47">
        <f ca="1">IF(N7="ENTRADAS FI (EXCEÇÃO)",R4,WORKDAY.INTL(R4,15,1))</f>
        <v>46098</v>
      </c>
      <c r="S6" s="47"/>
      <c r="T6" s="47"/>
      <c r="U6" s="47"/>
      <c r="X6" s="2" t="s">
        <v>329</v>
      </c>
      <c r="Y6" s="2">
        <f>IF(I5="",1,0)</f>
        <v>1</v>
      </c>
    </row>
    <row r="7" spans="1:25" ht="25" customHeight="1" x14ac:dyDescent="0.35">
      <c r="G7" s="61" t="s">
        <v>67</v>
      </c>
      <c r="H7" s="61"/>
      <c r="I7" s="68" t="str">
        <f ca="1">LEFT(G11,2)&amp;LEFT(T49,1)&amp;LEFT(R6,6)</f>
        <v>046098</v>
      </c>
      <c r="J7" s="68"/>
      <c r="K7" s="68"/>
      <c r="L7" s="68"/>
      <c r="M7" s="3" t="s">
        <v>59</v>
      </c>
      <c r="N7" s="57" t="s">
        <v>351</v>
      </c>
      <c r="O7" s="57"/>
      <c r="P7" s="57"/>
      <c r="Q7" s="57"/>
      <c r="R7" s="3" t="s">
        <v>58</v>
      </c>
      <c r="S7" s="57"/>
      <c r="T7" s="57"/>
      <c r="U7" s="57"/>
      <c r="X7" s="2" t="s">
        <v>330</v>
      </c>
      <c r="Y7" s="2">
        <f>IF(I6="",1,0)</f>
        <v>1</v>
      </c>
    </row>
    <row r="8" spans="1:25" ht="12.65" customHeight="1" x14ac:dyDescent="0.35">
      <c r="X8" s="2" t="s">
        <v>331</v>
      </c>
      <c r="Y8" s="2">
        <f>IF(N7="",1,0)</f>
        <v>0</v>
      </c>
    </row>
    <row r="9" spans="1:25" ht="25" customHeight="1" x14ac:dyDescent="0.35">
      <c r="B9" s="42" t="str">
        <f>IF(N7="ENTRADAS FI (PAGAMENTOS)","DADOS DO FORNECEDOR","DADOS DO COLABORADOR")</f>
        <v>DADOS DO COLABORADOR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X9" s="2" t="s">
        <v>332</v>
      </c>
      <c r="Y9" s="2">
        <f>IF(S7="",1,0)</f>
        <v>1</v>
      </c>
    </row>
    <row r="10" spans="1:25" ht="25" customHeight="1" x14ac:dyDescent="0.35">
      <c r="B10" s="61" t="str">
        <f>IF(N7="ENTRADAS FI (PAGAMENTOS)","RAZÃO SOCIAL","NOME")</f>
        <v>NOME</v>
      </c>
      <c r="C10" s="61"/>
      <c r="D10" s="61"/>
      <c r="E10" s="61"/>
      <c r="F10" s="61"/>
      <c r="G10" s="62"/>
      <c r="H10" s="63"/>
      <c r="I10" s="63"/>
      <c r="J10" s="63"/>
      <c r="K10" s="63"/>
      <c r="L10" s="63"/>
      <c r="M10" s="63"/>
      <c r="N10" s="63"/>
      <c r="O10" s="64"/>
      <c r="P10" s="61" t="s">
        <v>62</v>
      </c>
      <c r="Q10" s="61"/>
      <c r="R10" s="61"/>
      <c r="S10" s="57"/>
      <c r="T10" s="57"/>
      <c r="U10" s="57"/>
      <c r="X10" s="2" t="s">
        <v>333</v>
      </c>
      <c r="Y10" s="2">
        <f>IF(G10="",1,0)</f>
        <v>1</v>
      </c>
    </row>
    <row r="11" spans="1:25" ht="25" customHeight="1" x14ac:dyDescent="0.35">
      <c r="B11" s="61" t="str">
        <f>IF(N7="ENTRADAS FI (PAGAMENTOS)","CNPJ/CPF","CPF")</f>
        <v>CPF</v>
      </c>
      <c r="C11" s="61"/>
      <c r="D11" s="61"/>
      <c r="E11" s="61"/>
      <c r="F11" s="61"/>
      <c r="G11" s="62"/>
      <c r="H11" s="63"/>
      <c r="I11" s="63"/>
      <c r="J11" s="63"/>
      <c r="K11" s="63"/>
      <c r="L11" s="63"/>
      <c r="M11" s="63"/>
      <c r="N11" s="63"/>
      <c r="O11" s="64"/>
      <c r="P11" s="61" t="s">
        <v>61</v>
      </c>
      <c r="Q11" s="61"/>
      <c r="R11" s="61"/>
      <c r="S11" s="57"/>
      <c r="T11" s="57"/>
      <c r="U11" s="57"/>
      <c r="X11" s="2" t="s">
        <v>334</v>
      </c>
      <c r="Y11" s="2">
        <f>IF(G11="",1,0)</f>
        <v>1</v>
      </c>
    </row>
    <row r="12" spans="1:25" ht="12.65" customHeight="1" x14ac:dyDescent="0.35">
      <c r="X12" s="2" t="s">
        <v>335</v>
      </c>
      <c r="Y12" s="2">
        <f>IF(S10="",1,0)</f>
        <v>1</v>
      </c>
    </row>
    <row r="13" spans="1:25" ht="25" customHeight="1" x14ac:dyDescent="0.35">
      <c r="B13" s="42" t="s">
        <v>7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X13" s="2" t="s">
        <v>336</v>
      </c>
      <c r="Y13" s="2">
        <f>IF(S11="",1,0)</f>
        <v>1</v>
      </c>
    </row>
    <row r="14" spans="1:25" ht="25" customHeight="1" x14ac:dyDescent="0.35">
      <c r="B14" s="43" t="s">
        <v>0</v>
      </c>
      <c r="C14" s="45"/>
      <c r="D14" s="41" t="s">
        <v>1</v>
      </c>
      <c r="E14" s="41"/>
      <c r="F14" s="41"/>
      <c r="G14" s="41"/>
      <c r="H14" s="41" t="s">
        <v>2</v>
      </c>
      <c r="I14" s="41"/>
      <c r="J14" s="41"/>
      <c r="K14" s="41"/>
      <c r="L14" s="43" t="s">
        <v>3</v>
      </c>
      <c r="M14" s="44"/>
      <c r="N14" s="44"/>
      <c r="O14" s="44"/>
      <c r="P14" s="44"/>
      <c r="Q14" s="44"/>
      <c r="R14" s="45"/>
      <c r="S14" s="4" t="s">
        <v>5</v>
      </c>
      <c r="T14" s="41" t="s">
        <v>6</v>
      </c>
      <c r="U14" s="41"/>
    </row>
    <row r="15" spans="1:25" ht="25" customHeight="1" x14ac:dyDescent="0.35">
      <c r="B15" s="65"/>
      <c r="C15" s="66"/>
      <c r="D15" s="39"/>
      <c r="E15" s="39"/>
      <c r="F15" s="39"/>
      <c r="G15" s="39"/>
      <c r="H15" s="39"/>
      <c r="I15" s="39"/>
      <c r="J15" s="39"/>
      <c r="K15" s="39"/>
      <c r="L15" s="48"/>
      <c r="M15" s="49"/>
      <c r="N15" s="49"/>
      <c r="O15" s="49"/>
      <c r="P15" s="49"/>
      <c r="Q15" s="49"/>
      <c r="R15" s="50"/>
      <c r="S15" s="24"/>
      <c r="T15" s="40"/>
      <c r="U15" s="40"/>
      <c r="X15" s="2" t="str">
        <f>IF(T15&gt;0,L15,"X")</f>
        <v>X</v>
      </c>
      <c r="Y15" s="2">
        <f>IF(X15=0,1,0)</f>
        <v>0</v>
      </c>
    </row>
    <row r="16" spans="1:25" ht="25" customHeight="1" x14ac:dyDescent="0.35">
      <c r="B16" s="65"/>
      <c r="C16" s="66"/>
      <c r="D16" s="39"/>
      <c r="E16" s="39"/>
      <c r="F16" s="39"/>
      <c r="G16" s="39"/>
      <c r="H16" s="39"/>
      <c r="I16" s="39"/>
      <c r="J16" s="39"/>
      <c r="K16" s="39"/>
      <c r="L16" s="48"/>
      <c r="M16" s="49"/>
      <c r="N16" s="49"/>
      <c r="O16" s="49"/>
      <c r="P16" s="49"/>
      <c r="Q16" s="49"/>
      <c r="R16" s="50"/>
      <c r="S16" s="24"/>
      <c r="T16" s="40"/>
      <c r="U16" s="40"/>
      <c r="X16" s="2" t="str">
        <f t="shared" ref="X16:X34" si="0">IF(T16&gt;0,L16,"X")</f>
        <v>X</v>
      </c>
      <c r="Y16" s="2">
        <f t="shared" ref="Y16:Y34" si="1">IF(X16=0,1,0)</f>
        <v>0</v>
      </c>
    </row>
    <row r="17" spans="2:25" ht="25" customHeight="1" x14ac:dyDescent="0.35">
      <c r="B17" s="65"/>
      <c r="C17" s="66"/>
      <c r="D17" s="39"/>
      <c r="E17" s="39"/>
      <c r="F17" s="39"/>
      <c r="G17" s="39"/>
      <c r="H17" s="39"/>
      <c r="I17" s="39"/>
      <c r="J17" s="39"/>
      <c r="K17" s="39"/>
      <c r="L17" s="69"/>
      <c r="M17" s="70"/>
      <c r="N17" s="70"/>
      <c r="O17" s="70"/>
      <c r="P17" s="70"/>
      <c r="Q17" s="70"/>
      <c r="R17" s="71"/>
      <c r="S17" s="24"/>
      <c r="T17" s="40"/>
      <c r="U17" s="40"/>
      <c r="X17" s="2" t="str">
        <f t="shared" si="0"/>
        <v>X</v>
      </c>
      <c r="Y17" s="2">
        <f t="shared" si="1"/>
        <v>0</v>
      </c>
    </row>
    <row r="18" spans="2:25" ht="25" customHeight="1" x14ac:dyDescent="0.35">
      <c r="B18" s="65"/>
      <c r="C18" s="66"/>
      <c r="D18" s="39"/>
      <c r="E18" s="39"/>
      <c r="F18" s="39"/>
      <c r="G18" s="39"/>
      <c r="H18" s="39"/>
      <c r="I18" s="39"/>
      <c r="J18" s="39"/>
      <c r="K18" s="39"/>
      <c r="L18" s="48"/>
      <c r="M18" s="49"/>
      <c r="N18" s="49"/>
      <c r="O18" s="49"/>
      <c r="P18" s="49"/>
      <c r="Q18" s="49"/>
      <c r="R18" s="50"/>
      <c r="S18" s="24"/>
      <c r="T18" s="40"/>
      <c r="U18" s="40"/>
      <c r="X18" s="2" t="str">
        <f t="shared" si="0"/>
        <v>X</v>
      </c>
      <c r="Y18" s="2">
        <f t="shared" si="1"/>
        <v>0</v>
      </c>
    </row>
    <row r="19" spans="2:25" ht="25" customHeight="1" x14ac:dyDescent="0.35">
      <c r="B19" s="65"/>
      <c r="C19" s="66"/>
      <c r="D19" s="39"/>
      <c r="E19" s="39"/>
      <c r="F19" s="39"/>
      <c r="G19" s="39"/>
      <c r="H19" s="39"/>
      <c r="I19" s="39"/>
      <c r="J19" s="39"/>
      <c r="K19" s="39"/>
      <c r="L19" s="48"/>
      <c r="M19" s="49"/>
      <c r="N19" s="49"/>
      <c r="O19" s="49"/>
      <c r="P19" s="49"/>
      <c r="Q19" s="49"/>
      <c r="R19" s="50"/>
      <c r="S19" s="24"/>
      <c r="T19" s="40"/>
      <c r="U19" s="40"/>
      <c r="X19" s="2" t="str">
        <f t="shared" si="0"/>
        <v>X</v>
      </c>
      <c r="Y19" s="2">
        <f t="shared" si="1"/>
        <v>0</v>
      </c>
    </row>
    <row r="20" spans="2:25" ht="25" customHeight="1" x14ac:dyDescent="0.35">
      <c r="B20" s="65"/>
      <c r="C20" s="66"/>
      <c r="D20" s="39"/>
      <c r="E20" s="39"/>
      <c r="F20" s="39"/>
      <c r="G20" s="39"/>
      <c r="H20" s="39"/>
      <c r="I20" s="39"/>
      <c r="J20" s="39"/>
      <c r="K20" s="39"/>
      <c r="L20" s="48"/>
      <c r="M20" s="49"/>
      <c r="N20" s="49"/>
      <c r="O20" s="49"/>
      <c r="P20" s="49"/>
      <c r="Q20" s="49"/>
      <c r="R20" s="50"/>
      <c r="S20" s="24"/>
      <c r="T20" s="40"/>
      <c r="U20" s="40"/>
      <c r="X20" s="2" t="str">
        <f t="shared" si="0"/>
        <v>X</v>
      </c>
      <c r="Y20" s="2">
        <f t="shared" si="1"/>
        <v>0</v>
      </c>
    </row>
    <row r="21" spans="2:25" ht="25" customHeight="1" x14ac:dyDescent="0.35">
      <c r="B21" s="65"/>
      <c r="C21" s="66"/>
      <c r="D21" s="39"/>
      <c r="E21" s="39"/>
      <c r="F21" s="39"/>
      <c r="G21" s="39"/>
      <c r="H21" s="39"/>
      <c r="I21" s="39"/>
      <c r="J21" s="39"/>
      <c r="K21" s="39"/>
      <c r="L21" s="48"/>
      <c r="M21" s="49"/>
      <c r="N21" s="49"/>
      <c r="O21" s="49"/>
      <c r="P21" s="49"/>
      <c r="Q21" s="49"/>
      <c r="R21" s="50"/>
      <c r="S21" s="24"/>
      <c r="T21" s="40"/>
      <c r="U21" s="40"/>
      <c r="X21" s="2" t="str">
        <f t="shared" si="0"/>
        <v>X</v>
      </c>
      <c r="Y21" s="2">
        <f t="shared" si="1"/>
        <v>0</v>
      </c>
    </row>
    <row r="22" spans="2:25" ht="25" customHeight="1" x14ac:dyDescent="0.35">
      <c r="B22" s="65"/>
      <c r="C22" s="66"/>
      <c r="D22" s="39"/>
      <c r="E22" s="39"/>
      <c r="F22" s="39"/>
      <c r="G22" s="39"/>
      <c r="H22" s="39"/>
      <c r="I22" s="39"/>
      <c r="J22" s="39"/>
      <c r="K22" s="39"/>
      <c r="L22" s="48"/>
      <c r="M22" s="49"/>
      <c r="N22" s="49"/>
      <c r="O22" s="49"/>
      <c r="P22" s="49"/>
      <c r="Q22" s="49"/>
      <c r="R22" s="50"/>
      <c r="S22" s="24"/>
      <c r="T22" s="40"/>
      <c r="U22" s="40"/>
      <c r="X22" s="2" t="str">
        <f t="shared" si="0"/>
        <v>X</v>
      </c>
      <c r="Y22" s="2">
        <f t="shared" si="1"/>
        <v>0</v>
      </c>
    </row>
    <row r="23" spans="2:25" ht="25" customHeight="1" x14ac:dyDescent="0.35">
      <c r="B23" s="65"/>
      <c r="C23" s="66"/>
      <c r="D23" s="39"/>
      <c r="E23" s="39"/>
      <c r="F23" s="39"/>
      <c r="G23" s="39"/>
      <c r="H23" s="39"/>
      <c r="I23" s="39"/>
      <c r="J23" s="39"/>
      <c r="K23" s="39"/>
      <c r="L23" s="48"/>
      <c r="M23" s="49"/>
      <c r="N23" s="49"/>
      <c r="O23" s="49"/>
      <c r="P23" s="49"/>
      <c r="Q23" s="49"/>
      <c r="R23" s="50"/>
      <c r="S23" s="24"/>
      <c r="T23" s="40"/>
      <c r="U23" s="40"/>
      <c r="X23" s="2" t="str">
        <f t="shared" si="0"/>
        <v>X</v>
      </c>
      <c r="Y23" s="2">
        <f t="shared" si="1"/>
        <v>0</v>
      </c>
    </row>
    <row r="24" spans="2:25" ht="25" customHeight="1" x14ac:dyDescent="0.35">
      <c r="B24" s="65"/>
      <c r="C24" s="66"/>
      <c r="D24" s="39"/>
      <c r="E24" s="39"/>
      <c r="F24" s="39"/>
      <c r="G24" s="39"/>
      <c r="H24" s="39"/>
      <c r="I24" s="39"/>
      <c r="J24" s="39"/>
      <c r="K24" s="39"/>
      <c r="L24" s="48"/>
      <c r="M24" s="49"/>
      <c r="N24" s="49"/>
      <c r="O24" s="49"/>
      <c r="P24" s="49"/>
      <c r="Q24" s="49"/>
      <c r="R24" s="50"/>
      <c r="S24" s="24"/>
      <c r="T24" s="40"/>
      <c r="U24" s="40"/>
      <c r="X24" s="2" t="str">
        <f t="shared" si="0"/>
        <v>X</v>
      </c>
      <c r="Y24" s="2">
        <f t="shared" si="1"/>
        <v>0</v>
      </c>
    </row>
    <row r="25" spans="2:25" ht="25" customHeight="1" x14ac:dyDescent="0.35">
      <c r="B25" s="65"/>
      <c r="C25" s="66"/>
      <c r="D25" s="39"/>
      <c r="E25" s="39"/>
      <c r="F25" s="39"/>
      <c r="G25" s="39"/>
      <c r="H25" s="39"/>
      <c r="I25" s="39"/>
      <c r="J25" s="39"/>
      <c r="K25" s="39"/>
      <c r="L25" s="48"/>
      <c r="M25" s="49"/>
      <c r="N25" s="49"/>
      <c r="O25" s="49"/>
      <c r="P25" s="49"/>
      <c r="Q25" s="49"/>
      <c r="R25" s="50"/>
      <c r="S25" s="24"/>
      <c r="T25" s="40"/>
      <c r="U25" s="40"/>
      <c r="X25" s="2" t="str">
        <f t="shared" si="0"/>
        <v>X</v>
      </c>
      <c r="Y25" s="2">
        <f t="shared" si="1"/>
        <v>0</v>
      </c>
    </row>
    <row r="26" spans="2:25" ht="25" customHeight="1" x14ac:dyDescent="0.35">
      <c r="B26" s="65"/>
      <c r="C26" s="66"/>
      <c r="D26" s="39"/>
      <c r="E26" s="39"/>
      <c r="F26" s="39"/>
      <c r="G26" s="39"/>
      <c r="H26" s="39"/>
      <c r="I26" s="39"/>
      <c r="J26" s="39"/>
      <c r="K26" s="39"/>
      <c r="L26" s="48"/>
      <c r="M26" s="49"/>
      <c r="N26" s="49"/>
      <c r="O26" s="49"/>
      <c r="P26" s="49"/>
      <c r="Q26" s="49"/>
      <c r="R26" s="50"/>
      <c r="S26" s="24"/>
      <c r="T26" s="40"/>
      <c r="U26" s="40"/>
      <c r="X26" s="2" t="str">
        <f t="shared" si="0"/>
        <v>X</v>
      </c>
      <c r="Y26" s="2">
        <f t="shared" si="1"/>
        <v>0</v>
      </c>
    </row>
    <row r="27" spans="2:25" ht="25" customHeight="1" x14ac:dyDescent="0.35">
      <c r="B27" s="65"/>
      <c r="C27" s="66"/>
      <c r="D27" s="39"/>
      <c r="E27" s="39"/>
      <c r="F27" s="39"/>
      <c r="G27" s="39"/>
      <c r="H27" s="39"/>
      <c r="I27" s="39"/>
      <c r="J27" s="39"/>
      <c r="K27" s="39"/>
      <c r="L27" s="48"/>
      <c r="M27" s="49"/>
      <c r="N27" s="49"/>
      <c r="O27" s="49"/>
      <c r="P27" s="49"/>
      <c r="Q27" s="49"/>
      <c r="R27" s="50"/>
      <c r="S27" s="24"/>
      <c r="T27" s="40"/>
      <c r="U27" s="40"/>
      <c r="X27" s="2" t="str">
        <f t="shared" si="0"/>
        <v>X</v>
      </c>
      <c r="Y27" s="2">
        <f t="shared" si="1"/>
        <v>0</v>
      </c>
    </row>
    <row r="28" spans="2:25" ht="25" customHeight="1" x14ac:dyDescent="0.35">
      <c r="B28" s="65"/>
      <c r="C28" s="66"/>
      <c r="D28" s="39"/>
      <c r="E28" s="39"/>
      <c r="F28" s="39"/>
      <c r="G28" s="39"/>
      <c r="H28" s="39"/>
      <c r="I28" s="39"/>
      <c r="J28" s="39"/>
      <c r="K28" s="39"/>
      <c r="L28" s="48"/>
      <c r="M28" s="49"/>
      <c r="N28" s="49"/>
      <c r="O28" s="49"/>
      <c r="P28" s="49"/>
      <c r="Q28" s="49"/>
      <c r="R28" s="50"/>
      <c r="S28" s="24"/>
      <c r="T28" s="40"/>
      <c r="U28" s="40"/>
      <c r="X28" s="2" t="str">
        <f t="shared" si="0"/>
        <v>X</v>
      </c>
      <c r="Y28" s="2">
        <f t="shared" si="1"/>
        <v>0</v>
      </c>
    </row>
    <row r="29" spans="2:25" ht="25" customHeight="1" x14ac:dyDescent="0.35">
      <c r="B29" s="65"/>
      <c r="C29" s="66"/>
      <c r="D29" s="39"/>
      <c r="E29" s="39"/>
      <c r="F29" s="39"/>
      <c r="G29" s="39"/>
      <c r="H29" s="39"/>
      <c r="I29" s="39"/>
      <c r="J29" s="39"/>
      <c r="K29" s="39"/>
      <c r="L29" s="48"/>
      <c r="M29" s="49"/>
      <c r="N29" s="49"/>
      <c r="O29" s="49"/>
      <c r="P29" s="49"/>
      <c r="Q29" s="49"/>
      <c r="R29" s="50"/>
      <c r="S29" s="24"/>
      <c r="T29" s="40"/>
      <c r="U29" s="40"/>
      <c r="X29" s="2" t="str">
        <f t="shared" si="0"/>
        <v>X</v>
      </c>
      <c r="Y29" s="2">
        <f t="shared" si="1"/>
        <v>0</v>
      </c>
    </row>
    <row r="30" spans="2:25" ht="25" customHeight="1" x14ac:dyDescent="0.35">
      <c r="B30" s="65"/>
      <c r="C30" s="66"/>
      <c r="D30" s="39"/>
      <c r="E30" s="39"/>
      <c r="F30" s="39"/>
      <c r="G30" s="39"/>
      <c r="H30" s="39"/>
      <c r="I30" s="39"/>
      <c r="J30" s="39"/>
      <c r="K30" s="39"/>
      <c r="L30" s="48"/>
      <c r="M30" s="49"/>
      <c r="N30" s="49"/>
      <c r="O30" s="49"/>
      <c r="P30" s="49"/>
      <c r="Q30" s="49"/>
      <c r="R30" s="50"/>
      <c r="S30" s="24"/>
      <c r="T30" s="40"/>
      <c r="U30" s="40"/>
      <c r="X30" s="2" t="str">
        <f t="shared" si="0"/>
        <v>X</v>
      </c>
      <c r="Y30" s="2">
        <f t="shared" si="1"/>
        <v>0</v>
      </c>
    </row>
    <row r="31" spans="2:25" ht="25" customHeight="1" x14ac:dyDescent="0.35">
      <c r="B31" s="65"/>
      <c r="C31" s="66"/>
      <c r="D31" s="39"/>
      <c r="E31" s="39"/>
      <c r="F31" s="39"/>
      <c r="G31" s="39"/>
      <c r="H31" s="39"/>
      <c r="I31" s="39"/>
      <c r="J31" s="39"/>
      <c r="K31" s="39"/>
      <c r="L31" s="48"/>
      <c r="M31" s="49"/>
      <c r="N31" s="49"/>
      <c r="O31" s="49"/>
      <c r="P31" s="49"/>
      <c r="Q31" s="49"/>
      <c r="R31" s="50"/>
      <c r="S31" s="24"/>
      <c r="T31" s="40"/>
      <c r="U31" s="40"/>
      <c r="X31" s="2" t="str">
        <f t="shared" si="0"/>
        <v>X</v>
      </c>
      <c r="Y31" s="2">
        <f t="shared" si="1"/>
        <v>0</v>
      </c>
    </row>
    <row r="32" spans="2:25" ht="25" customHeight="1" x14ac:dyDescent="0.35">
      <c r="B32" s="65"/>
      <c r="C32" s="66"/>
      <c r="D32" s="39"/>
      <c r="E32" s="39"/>
      <c r="F32" s="39"/>
      <c r="G32" s="39"/>
      <c r="H32" s="39"/>
      <c r="I32" s="39"/>
      <c r="J32" s="39"/>
      <c r="K32" s="39"/>
      <c r="L32" s="48"/>
      <c r="M32" s="49"/>
      <c r="N32" s="49"/>
      <c r="O32" s="49"/>
      <c r="P32" s="49"/>
      <c r="Q32" s="49"/>
      <c r="R32" s="50"/>
      <c r="S32" s="24"/>
      <c r="T32" s="40"/>
      <c r="U32" s="40"/>
      <c r="X32" s="2" t="str">
        <f t="shared" si="0"/>
        <v>X</v>
      </c>
      <c r="Y32" s="2">
        <f t="shared" si="1"/>
        <v>0</v>
      </c>
    </row>
    <row r="33" spans="2:27" ht="25" customHeight="1" x14ac:dyDescent="0.35">
      <c r="B33" s="65"/>
      <c r="C33" s="66"/>
      <c r="D33" s="39"/>
      <c r="E33" s="39"/>
      <c r="F33" s="39"/>
      <c r="G33" s="39"/>
      <c r="H33" s="39"/>
      <c r="I33" s="39"/>
      <c r="J33" s="39"/>
      <c r="K33" s="39"/>
      <c r="L33" s="48"/>
      <c r="M33" s="49"/>
      <c r="N33" s="49"/>
      <c r="O33" s="49"/>
      <c r="P33" s="49"/>
      <c r="Q33" s="49"/>
      <c r="R33" s="50"/>
      <c r="S33" s="24"/>
      <c r="T33" s="40"/>
      <c r="U33" s="40"/>
      <c r="X33" s="2" t="str">
        <f t="shared" si="0"/>
        <v>X</v>
      </c>
      <c r="Y33" s="2">
        <f t="shared" si="1"/>
        <v>0</v>
      </c>
    </row>
    <row r="34" spans="2:27" ht="25" customHeight="1" x14ac:dyDescent="0.35">
      <c r="B34" s="65"/>
      <c r="C34" s="66"/>
      <c r="D34" s="39"/>
      <c r="E34" s="39"/>
      <c r="F34" s="39"/>
      <c r="G34" s="39"/>
      <c r="H34" s="39"/>
      <c r="I34" s="39"/>
      <c r="J34" s="39"/>
      <c r="K34" s="39"/>
      <c r="L34" s="48"/>
      <c r="M34" s="49"/>
      <c r="N34" s="49"/>
      <c r="O34" s="49"/>
      <c r="P34" s="49"/>
      <c r="Q34" s="49"/>
      <c r="R34" s="50"/>
      <c r="S34" s="24"/>
      <c r="T34" s="40"/>
      <c r="U34" s="40"/>
      <c r="X34" s="2" t="str">
        <f t="shared" si="0"/>
        <v>X</v>
      </c>
      <c r="Y34" s="2">
        <f t="shared" si="1"/>
        <v>0</v>
      </c>
    </row>
    <row r="35" spans="2:27" ht="25" customHeight="1" x14ac:dyDescent="0.35">
      <c r="P35" s="53" t="s">
        <v>8</v>
      </c>
      <c r="Q35" s="54"/>
      <c r="R35" s="54"/>
      <c r="S35" s="55"/>
      <c r="T35" s="51">
        <f>SUBTOTAL(9,T15:U34)</f>
        <v>0</v>
      </c>
      <c r="U35" s="52"/>
    </row>
    <row r="36" spans="2:27" ht="12.65" customHeight="1" x14ac:dyDescent="0.35"/>
    <row r="37" spans="2:27" ht="25" customHeight="1" x14ac:dyDescent="0.35">
      <c r="B37" s="42" t="s">
        <v>339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</row>
    <row r="38" spans="2:27" ht="25" customHeight="1" x14ac:dyDescent="0.35">
      <c r="B38" s="43" t="s">
        <v>0</v>
      </c>
      <c r="C38" s="45"/>
      <c r="D38" s="43" t="s">
        <v>1</v>
      </c>
      <c r="E38" s="44"/>
      <c r="F38" s="44"/>
      <c r="G38" s="45"/>
      <c r="H38" s="41" t="s">
        <v>2</v>
      </c>
      <c r="I38" s="41"/>
      <c r="J38" s="41"/>
      <c r="K38" s="41"/>
      <c r="L38" s="43" t="s">
        <v>3</v>
      </c>
      <c r="M38" s="44"/>
      <c r="N38" s="44"/>
      <c r="O38" s="44"/>
      <c r="P38" s="44"/>
      <c r="Q38" s="45"/>
      <c r="R38" s="4" t="s">
        <v>5</v>
      </c>
      <c r="S38" s="4" t="s">
        <v>9</v>
      </c>
      <c r="T38" s="41" t="s">
        <v>6</v>
      </c>
      <c r="U38" s="41"/>
    </row>
    <row r="39" spans="2:27" ht="25" customHeight="1" x14ac:dyDescent="0.35">
      <c r="B39" s="65"/>
      <c r="C39" s="66"/>
      <c r="D39" s="39"/>
      <c r="E39" s="39"/>
      <c r="F39" s="39"/>
      <c r="G39" s="39"/>
      <c r="H39" s="39"/>
      <c r="I39" s="39"/>
      <c r="J39" s="39"/>
      <c r="K39" s="39"/>
      <c r="L39" s="48"/>
      <c r="M39" s="49"/>
      <c r="N39" s="49"/>
      <c r="O39" s="49"/>
      <c r="P39" s="49"/>
      <c r="Q39" s="50"/>
      <c r="R39" s="25"/>
      <c r="S39" s="5" t="str">
        <f>IF(B39="","",1.5)</f>
        <v/>
      </c>
      <c r="T39" s="56" t="str">
        <f>IF(B39="","",R39*S39)</f>
        <v/>
      </c>
      <c r="U39" s="56"/>
      <c r="X39" s="2" t="str">
        <f>IF(B39&gt;0,L39,"X")</f>
        <v>X</v>
      </c>
      <c r="Y39" s="2">
        <f t="shared" ref="Y39:Y46" si="2">IF(X39=0,1,0)</f>
        <v>0</v>
      </c>
    </row>
    <row r="40" spans="2:27" ht="25" customHeight="1" x14ac:dyDescent="0.35">
      <c r="B40" s="65"/>
      <c r="C40" s="66"/>
      <c r="D40" s="39"/>
      <c r="E40" s="39"/>
      <c r="F40" s="39"/>
      <c r="G40" s="39"/>
      <c r="H40" s="39"/>
      <c r="I40" s="39"/>
      <c r="J40" s="39"/>
      <c r="K40" s="39"/>
      <c r="L40" s="48"/>
      <c r="M40" s="49"/>
      <c r="N40" s="49"/>
      <c r="O40" s="49"/>
      <c r="P40" s="49"/>
      <c r="Q40" s="50"/>
      <c r="R40" s="25"/>
      <c r="S40" s="5" t="str">
        <f t="shared" ref="S40:S46" si="3">IF(B40="","",1.5)</f>
        <v/>
      </c>
      <c r="T40" s="56" t="str">
        <f t="shared" ref="T40:T46" si="4">IF(B40="","",R40*S40)</f>
        <v/>
      </c>
      <c r="U40" s="56"/>
      <c r="X40" s="2" t="str">
        <f>IF(B40&gt;0,L40,"X")</f>
        <v>X</v>
      </c>
      <c r="Y40" s="2">
        <f t="shared" si="2"/>
        <v>0</v>
      </c>
      <c r="AA40" s="6" t="str">
        <f>T40</f>
        <v/>
      </c>
    </row>
    <row r="41" spans="2:27" ht="25" customHeight="1" x14ac:dyDescent="0.35">
      <c r="B41" s="65"/>
      <c r="C41" s="66"/>
      <c r="D41" s="39"/>
      <c r="E41" s="39"/>
      <c r="F41" s="39"/>
      <c r="G41" s="39"/>
      <c r="H41" s="39"/>
      <c r="I41" s="39"/>
      <c r="J41" s="39"/>
      <c r="K41" s="39"/>
      <c r="L41" s="48"/>
      <c r="M41" s="49"/>
      <c r="N41" s="49"/>
      <c r="O41" s="49"/>
      <c r="P41" s="49"/>
      <c r="Q41" s="50"/>
      <c r="R41" s="25"/>
      <c r="S41" s="5" t="str">
        <f t="shared" si="3"/>
        <v/>
      </c>
      <c r="T41" s="56" t="str">
        <f t="shared" ref="T41" si="5">IF(B41="","",R41*S41)</f>
        <v/>
      </c>
      <c r="U41" s="56"/>
      <c r="X41" s="2" t="str">
        <f t="shared" ref="X41:X46" si="6">IF(B41&gt;0,L41,"X")</f>
        <v>X</v>
      </c>
      <c r="Y41" s="2">
        <f t="shared" si="2"/>
        <v>0</v>
      </c>
    </row>
    <row r="42" spans="2:27" ht="25" customHeight="1" x14ac:dyDescent="0.35">
      <c r="B42" s="65"/>
      <c r="C42" s="66"/>
      <c r="D42" s="39"/>
      <c r="E42" s="39"/>
      <c r="F42" s="39"/>
      <c r="G42" s="39"/>
      <c r="H42" s="39"/>
      <c r="I42" s="39"/>
      <c r="J42" s="39"/>
      <c r="K42" s="39"/>
      <c r="L42" s="48"/>
      <c r="M42" s="49"/>
      <c r="N42" s="49"/>
      <c r="O42" s="49"/>
      <c r="P42" s="49"/>
      <c r="Q42" s="50"/>
      <c r="R42" s="25"/>
      <c r="S42" s="5" t="str">
        <f t="shared" si="3"/>
        <v/>
      </c>
      <c r="T42" s="56" t="str">
        <f t="shared" ref="T42:T45" si="7">IF(B42="","",R42*S42)</f>
        <v/>
      </c>
      <c r="U42" s="56"/>
      <c r="X42" s="2" t="str">
        <f t="shared" si="6"/>
        <v>X</v>
      </c>
      <c r="Y42" s="2">
        <f t="shared" si="2"/>
        <v>0</v>
      </c>
    </row>
    <row r="43" spans="2:27" ht="25" customHeight="1" x14ac:dyDescent="0.35">
      <c r="B43" s="65"/>
      <c r="C43" s="66"/>
      <c r="D43" s="39"/>
      <c r="E43" s="39"/>
      <c r="F43" s="39"/>
      <c r="G43" s="39"/>
      <c r="H43" s="39"/>
      <c r="I43" s="39"/>
      <c r="J43" s="39"/>
      <c r="K43" s="39"/>
      <c r="L43" s="48"/>
      <c r="M43" s="49"/>
      <c r="N43" s="49"/>
      <c r="O43" s="49"/>
      <c r="P43" s="49"/>
      <c r="Q43" s="50"/>
      <c r="R43" s="25"/>
      <c r="S43" s="5" t="str">
        <f t="shared" si="3"/>
        <v/>
      </c>
      <c r="T43" s="56" t="str">
        <f t="shared" si="7"/>
        <v/>
      </c>
      <c r="U43" s="56"/>
      <c r="X43" s="2" t="str">
        <f t="shared" si="6"/>
        <v>X</v>
      </c>
      <c r="Y43" s="2">
        <f t="shared" si="2"/>
        <v>0</v>
      </c>
    </row>
    <row r="44" spans="2:27" ht="25" customHeight="1" x14ac:dyDescent="0.35">
      <c r="B44" s="65"/>
      <c r="C44" s="66"/>
      <c r="D44" s="39"/>
      <c r="E44" s="39"/>
      <c r="F44" s="39"/>
      <c r="G44" s="39"/>
      <c r="H44" s="39"/>
      <c r="I44" s="39"/>
      <c r="J44" s="39"/>
      <c r="K44" s="39"/>
      <c r="L44" s="48"/>
      <c r="M44" s="49"/>
      <c r="N44" s="49"/>
      <c r="O44" s="49"/>
      <c r="P44" s="49"/>
      <c r="Q44" s="50"/>
      <c r="R44" s="25"/>
      <c r="S44" s="5" t="str">
        <f t="shared" si="3"/>
        <v/>
      </c>
      <c r="T44" s="56" t="str">
        <f t="shared" si="7"/>
        <v/>
      </c>
      <c r="U44" s="56"/>
      <c r="X44" s="2" t="str">
        <f t="shared" si="6"/>
        <v>X</v>
      </c>
      <c r="Y44" s="2">
        <f t="shared" si="2"/>
        <v>0</v>
      </c>
    </row>
    <row r="45" spans="2:27" ht="25" customHeight="1" x14ac:dyDescent="0.35">
      <c r="B45" s="65"/>
      <c r="C45" s="66"/>
      <c r="D45" s="39"/>
      <c r="E45" s="39"/>
      <c r="F45" s="39"/>
      <c r="G45" s="39"/>
      <c r="H45" s="39"/>
      <c r="I45" s="39"/>
      <c r="J45" s="39"/>
      <c r="K45" s="39"/>
      <c r="L45" s="48"/>
      <c r="M45" s="49"/>
      <c r="N45" s="49"/>
      <c r="O45" s="49"/>
      <c r="P45" s="49"/>
      <c r="Q45" s="50"/>
      <c r="R45" s="25"/>
      <c r="S45" s="5" t="str">
        <f t="shared" si="3"/>
        <v/>
      </c>
      <c r="T45" s="56" t="str">
        <f t="shared" si="7"/>
        <v/>
      </c>
      <c r="U45" s="56"/>
      <c r="X45" s="2" t="str">
        <f t="shared" si="6"/>
        <v>X</v>
      </c>
      <c r="Y45" s="2">
        <f t="shared" si="2"/>
        <v>0</v>
      </c>
    </row>
    <row r="46" spans="2:27" ht="25" customHeight="1" x14ac:dyDescent="0.35">
      <c r="B46" s="65"/>
      <c r="C46" s="66"/>
      <c r="D46" s="39"/>
      <c r="E46" s="39"/>
      <c r="F46" s="39"/>
      <c r="G46" s="39"/>
      <c r="H46" s="39"/>
      <c r="I46" s="39"/>
      <c r="J46" s="39"/>
      <c r="K46" s="39"/>
      <c r="L46" s="48"/>
      <c r="M46" s="49"/>
      <c r="N46" s="49"/>
      <c r="O46" s="49"/>
      <c r="P46" s="49"/>
      <c r="Q46" s="50"/>
      <c r="R46" s="25"/>
      <c r="S46" s="5" t="str">
        <f t="shared" si="3"/>
        <v/>
      </c>
      <c r="T46" s="56" t="str">
        <f t="shared" si="4"/>
        <v/>
      </c>
      <c r="U46" s="56"/>
      <c r="X46" s="2" t="str">
        <f t="shared" si="6"/>
        <v>X</v>
      </c>
      <c r="Y46" s="2">
        <f t="shared" si="2"/>
        <v>0</v>
      </c>
    </row>
    <row r="47" spans="2:27" ht="25" customHeight="1" x14ac:dyDescent="0.35">
      <c r="P47" s="53" t="s">
        <v>8</v>
      </c>
      <c r="Q47" s="54"/>
      <c r="R47" s="54"/>
      <c r="S47" s="55"/>
      <c r="T47" s="51">
        <f>SUBTOTAL(9,T39:U46)</f>
        <v>0</v>
      </c>
      <c r="U47" s="52"/>
    </row>
    <row r="48" spans="2:27" ht="12.65" customHeight="1" x14ac:dyDescent="0.35">
      <c r="T48" s="7"/>
      <c r="U48" s="7"/>
    </row>
    <row r="49" spans="2:21" ht="25" customHeight="1" x14ac:dyDescent="0.35">
      <c r="P49" s="53" t="s">
        <v>10</v>
      </c>
      <c r="Q49" s="54"/>
      <c r="R49" s="54"/>
      <c r="S49" s="55"/>
      <c r="T49" s="51">
        <f>SUBTOTAL(9,T15:U48)</f>
        <v>0</v>
      </c>
      <c r="U49" s="52"/>
    </row>
    <row r="50" spans="2:21" ht="12.65" customHeight="1" x14ac:dyDescent="0.35"/>
    <row r="51" spans="2:21" ht="25" customHeight="1" x14ac:dyDescent="0.35">
      <c r="B51" s="42" t="s">
        <v>84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</row>
    <row r="52" spans="2:21" ht="25" customHeight="1" x14ac:dyDescent="0.35">
      <c r="B52" s="81" t="s">
        <v>90</v>
      </c>
      <c r="C52" s="82"/>
      <c r="D52" s="82"/>
      <c r="E52" s="90"/>
      <c r="F52" s="90"/>
      <c r="G52" s="90"/>
      <c r="H52" s="90"/>
      <c r="I52" s="90"/>
      <c r="J52" s="90"/>
      <c r="K52" s="90"/>
      <c r="L52" s="82" t="s">
        <v>91</v>
      </c>
      <c r="M52" s="82"/>
      <c r="N52" s="82"/>
      <c r="O52" s="97" t="str">
        <f>IF(G10="","",G10)</f>
        <v/>
      </c>
      <c r="P52" s="97"/>
      <c r="Q52" s="97"/>
      <c r="R52" s="97"/>
      <c r="S52" s="97"/>
      <c r="T52" s="97"/>
      <c r="U52" s="98"/>
    </row>
    <row r="53" spans="2:21" ht="25" customHeight="1" x14ac:dyDescent="0.35">
      <c r="B53" s="81" t="s">
        <v>86</v>
      </c>
      <c r="C53" s="82"/>
      <c r="D53" s="82"/>
      <c r="E53" s="88"/>
      <c r="F53" s="88"/>
      <c r="G53" s="88"/>
      <c r="H53" s="88"/>
      <c r="I53" s="88"/>
      <c r="J53" s="88"/>
      <c r="K53" s="88"/>
      <c r="L53" s="82" t="s">
        <v>60</v>
      </c>
      <c r="M53" s="82"/>
      <c r="N53" s="82"/>
      <c r="O53" s="99" t="str">
        <f>IF(G11="","",G11)</f>
        <v/>
      </c>
      <c r="P53" s="99"/>
      <c r="Q53" s="99"/>
      <c r="R53" s="99"/>
      <c r="S53" s="99"/>
      <c r="T53" s="99"/>
      <c r="U53" s="100"/>
    </row>
    <row r="54" spans="2:21" ht="25" customHeight="1" x14ac:dyDescent="0.35">
      <c r="B54" s="81" t="s">
        <v>87</v>
      </c>
      <c r="C54" s="82"/>
      <c r="D54" s="82"/>
      <c r="E54" s="88"/>
      <c r="F54" s="88"/>
      <c r="G54" s="88"/>
      <c r="H54" s="88"/>
      <c r="I54" s="88"/>
      <c r="J54" s="88"/>
      <c r="K54" s="88"/>
      <c r="L54" s="82" t="s">
        <v>92</v>
      </c>
      <c r="M54" s="82"/>
      <c r="N54" s="82"/>
      <c r="O54" s="88"/>
      <c r="P54" s="88"/>
      <c r="Q54" s="88"/>
      <c r="R54" s="88"/>
      <c r="S54" s="88"/>
      <c r="T54" s="88"/>
      <c r="U54" s="101"/>
    </row>
    <row r="55" spans="2:21" ht="25" customHeight="1" x14ac:dyDescent="0.35">
      <c r="B55" s="81" t="s">
        <v>88</v>
      </c>
      <c r="C55" s="82"/>
      <c r="D55" s="82"/>
      <c r="E55" s="88"/>
      <c r="F55" s="88"/>
      <c r="G55" s="88"/>
      <c r="H55" s="88"/>
      <c r="I55" s="88"/>
      <c r="J55" s="88"/>
      <c r="K55" s="88"/>
      <c r="L55" s="82" t="s">
        <v>85</v>
      </c>
      <c r="M55" s="82"/>
      <c r="N55" s="82"/>
      <c r="O55" s="87">
        <f>(SUBTOTAL(9,T15:U49)-(SUM(D59,D60,N59,D61,N60,N61)))</f>
        <v>0</v>
      </c>
      <c r="P55" s="87"/>
      <c r="Q55" s="87"/>
      <c r="R55" s="9"/>
      <c r="S55" s="9"/>
      <c r="T55" s="9"/>
      <c r="U55" s="10"/>
    </row>
    <row r="56" spans="2:21" ht="25" customHeight="1" x14ac:dyDescent="0.35">
      <c r="B56" s="102" t="s">
        <v>89</v>
      </c>
      <c r="C56" s="103"/>
      <c r="D56" s="103"/>
      <c r="E56" s="88"/>
      <c r="F56" s="88"/>
      <c r="G56" s="88"/>
      <c r="H56" s="88"/>
      <c r="I56" s="88"/>
      <c r="J56" s="88"/>
      <c r="K56" s="88"/>
      <c r="L56" s="89"/>
      <c r="M56" s="89"/>
      <c r="N56" s="89"/>
      <c r="O56" s="12"/>
      <c r="P56" s="12"/>
      <c r="Q56" s="12"/>
      <c r="R56" s="12"/>
      <c r="S56" s="12"/>
      <c r="T56" s="12"/>
      <c r="U56" s="13"/>
    </row>
    <row r="57" spans="2:21" ht="12.65" customHeight="1" x14ac:dyDescent="0.35"/>
    <row r="58" spans="2:21" ht="25" customHeight="1" x14ac:dyDescent="0.35">
      <c r="B58" s="42" t="s">
        <v>69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</row>
    <row r="59" spans="2:21" ht="25" customHeight="1" x14ac:dyDescent="0.35">
      <c r="B59" s="14"/>
      <c r="C59" s="15" t="s">
        <v>70</v>
      </c>
      <c r="D59" s="83">
        <f>$T$35*H59</f>
        <v>0</v>
      </c>
      <c r="E59" s="83"/>
      <c r="F59" s="83"/>
      <c r="G59" s="16" t="s">
        <v>73</v>
      </c>
      <c r="H59" s="78"/>
      <c r="I59" s="78"/>
      <c r="J59" s="78"/>
      <c r="K59" s="17"/>
      <c r="L59" s="17"/>
      <c r="M59" s="15" t="s">
        <v>77</v>
      </c>
      <c r="N59" s="83">
        <f>IF($T$35&gt;215.04,$T$35*R59,0)</f>
        <v>0</v>
      </c>
      <c r="O59" s="83"/>
      <c r="P59" s="83"/>
      <c r="Q59" s="16" t="s">
        <v>73</v>
      </c>
      <c r="R59" s="78"/>
      <c r="S59" s="78"/>
      <c r="T59" s="78"/>
      <c r="U59" s="18"/>
    </row>
    <row r="60" spans="2:21" ht="25" customHeight="1" x14ac:dyDescent="0.35">
      <c r="B60" s="19"/>
      <c r="C60" s="8" t="s">
        <v>71</v>
      </c>
      <c r="D60" s="86">
        <f t="shared" ref="D60:D61" si="8">$T$35*H60</f>
        <v>0</v>
      </c>
      <c r="E60" s="86"/>
      <c r="F60" s="86"/>
      <c r="G60" s="20" t="s">
        <v>73</v>
      </c>
      <c r="H60" s="79"/>
      <c r="I60" s="79"/>
      <c r="J60" s="79"/>
      <c r="M60" s="8" t="s">
        <v>78</v>
      </c>
      <c r="N60" s="84">
        <f t="shared" ref="N60:N61" si="9">IF($T$35&gt;215.04,$T$35*R60,0)</f>
        <v>0</v>
      </c>
      <c r="O60" s="84"/>
      <c r="P60" s="84"/>
      <c r="Q60" s="20" t="s">
        <v>73</v>
      </c>
      <c r="R60" s="79"/>
      <c r="S60" s="79"/>
      <c r="T60" s="79"/>
      <c r="U60" s="21"/>
    </row>
    <row r="61" spans="2:21" ht="25" customHeight="1" x14ac:dyDescent="0.35">
      <c r="B61" s="22"/>
      <c r="C61" s="11" t="s">
        <v>72</v>
      </c>
      <c r="D61" s="87">
        <f t="shared" si="8"/>
        <v>0</v>
      </c>
      <c r="E61" s="87"/>
      <c r="F61" s="87"/>
      <c r="G61" s="23" t="s">
        <v>73</v>
      </c>
      <c r="H61" s="80"/>
      <c r="I61" s="80"/>
      <c r="J61" s="80"/>
      <c r="K61" s="12"/>
      <c r="L61" s="12"/>
      <c r="M61" s="11" t="s">
        <v>79</v>
      </c>
      <c r="N61" s="85">
        <f t="shared" si="9"/>
        <v>0</v>
      </c>
      <c r="O61" s="85"/>
      <c r="P61" s="85"/>
      <c r="Q61" s="23" t="s">
        <v>73</v>
      </c>
      <c r="R61" s="80"/>
      <c r="S61" s="80"/>
      <c r="T61" s="80"/>
      <c r="U61" s="13"/>
    </row>
    <row r="62" spans="2:21" ht="12.65" customHeight="1" x14ac:dyDescent="0.35"/>
    <row r="63" spans="2:21" ht="25" customHeight="1" x14ac:dyDescent="0.35">
      <c r="B63" s="42" t="s">
        <v>68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</row>
    <row r="64" spans="2:21" ht="25" customHeight="1" x14ac:dyDescent="0.35"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4"/>
    </row>
    <row r="65" spans="2:21" ht="25" customHeight="1" x14ac:dyDescent="0.35"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4"/>
    </row>
    <row r="66" spans="2:21" ht="25" customHeight="1" x14ac:dyDescent="0.35"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4"/>
    </row>
    <row r="67" spans="2:21" ht="25" customHeight="1" x14ac:dyDescent="0.35"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4"/>
    </row>
    <row r="68" spans="2:21" ht="25" customHeight="1" x14ac:dyDescent="0.35"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4"/>
    </row>
    <row r="69" spans="2:21" ht="25" customHeight="1" x14ac:dyDescent="0.35">
      <c r="B69" s="75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7"/>
    </row>
    <row r="70" spans="2:21" ht="12.65" customHeight="1" x14ac:dyDescent="0.35"/>
    <row r="71" spans="2:21" ht="25" customHeight="1" x14ac:dyDescent="0.35">
      <c r="B71" s="42" t="s">
        <v>106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</row>
    <row r="72" spans="2:21" ht="50.15" customHeight="1" x14ac:dyDescent="0.35">
      <c r="B72" s="94"/>
      <c r="C72" s="95"/>
      <c r="D72" s="95"/>
      <c r="E72" s="95"/>
      <c r="F72" s="95"/>
      <c r="G72" s="96"/>
      <c r="H72" s="94"/>
      <c r="I72" s="95"/>
      <c r="J72" s="95"/>
      <c r="K72" s="95"/>
      <c r="L72" s="95"/>
      <c r="M72" s="95"/>
      <c r="N72" s="96"/>
      <c r="O72" s="94"/>
      <c r="P72" s="95"/>
      <c r="Q72" s="95"/>
      <c r="R72" s="95"/>
      <c r="S72" s="95"/>
      <c r="T72" s="95"/>
      <c r="U72" s="96"/>
    </row>
    <row r="73" spans="2:21" ht="25" customHeight="1" x14ac:dyDescent="0.35">
      <c r="B73" s="91" t="s">
        <v>105</v>
      </c>
      <c r="C73" s="92"/>
      <c r="D73" s="92"/>
      <c r="E73" s="92"/>
      <c r="F73" s="92"/>
      <c r="G73" s="93"/>
      <c r="H73" s="91" t="s">
        <v>107</v>
      </c>
      <c r="I73" s="92"/>
      <c r="J73" s="92"/>
      <c r="K73" s="92"/>
      <c r="L73" s="92"/>
      <c r="M73" s="92"/>
      <c r="N73" s="93"/>
      <c r="O73" s="91" t="s">
        <v>108</v>
      </c>
      <c r="P73" s="92"/>
      <c r="Q73" s="92"/>
      <c r="R73" s="92"/>
      <c r="S73" s="92"/>
      <c r="T73" s="92"/>
      <c r="U73" s="93"/>
    </row>
    <row r="74" spans="2:21" ht="12.65" customHeight="1" x14ac:dyDescent="0.35"/>
    <row r="75" spans="2:21" ht="25" customHeight="1" x14ac:dyDescent="0.35">
      <c r="U75" s="27" t="s">
        <v>345</v>
      </c>
    </row>
    <row r="76" spans="2:21" ht="12.65" customHeight="1" x14ac:dyDescent="0.35"/>
  </sheetData>
  <mergeCells count="227">
    <mergeCell ref="B73:G73"/>
    <mergeCell ref="H73:N73"/>
    <mergeCell ref="O73:U73"/>
    <mergeCell ref="B37:U37"/>
    <mergeCell ref="T44:U44"/>
    <mergeCell ref="B72:G72"/>
    <mergeCell ref="H72:N72"/>
    <mergeCell ref="O72:U72"/>
    <mergeCell ref="B71:U71"/>
    <mergeCell ref="D43:G43"/>
    <mergeCell ref="H43:K43"/>
    <mergeCell ref="T43:U43"/>
    <mergeCell ref="B44:C44"/>
    <mergeCell ref="D44:G44"/>
    <mergeCell ref="H44:K44"/>
    <mergeCell ref="O52:U52"/>
    <mergeCell ref="O53:U53"/>
    <mergeCell ref="O54:U54"/>
    <mergeCell ref="B42:C42"/>
    <mergeCell ref="D42:G42"/>
    <mergeCell ref="H42:K42"/>
    <mergeCell ref="T42:U42"/>
    <mergeCell ref="B56:D56"/>
    <mergeCell ref="B52:D52"/>
    <mergeCell ref="E52:K52"/>
    <mergeCell ref="E53:K53"/>
    <mergeCell ref="E54:K54"/>
    <mergeCell ref="D46:G46"/>
    <mergeCell ref="H46:K46"/>
    <mergeCell ref="L42:Q42"/>
    <mergeCell ref="L46:Q46"/>
    <mergeCell ref="D45:G45"/>
    <mergeCell ref="H45:K45"/>
    <mergeCell ref="R59:T59"/>
    <mergeCell ref="R60:T60"/>
    <mergeCell ref="R61:T61"/>
    <mergeCell ref="B51:U51"/>
    <mergeCell ref="B53:D53"/>
    <mergeCell ref="B54:D54"/>
    <mergeCell ref="B55:D55"/>
    <mergeCell ref="N59:P59"/>
    <mergeCell ref="N60:P60"/>
    <mergeCell ref="N61:P61"/>
    <mergeCell ref="H59:J59"/>
    <mergeCell ref="H60:J60"/>
    <mergeCell ref="H61:J61"/>
    <mergeCell ref="D59:F59"/>
    <mergeCell ref="D60:F60"/>
    <mergeCell ref="D61:F61"/>
    <mergeCell ref="O55:Q55"/>
    <mergeCell ref="E55:K55"/>
    <mergeCell ref="E56:K56"/>
    <mergeCell ref="L52:N52"/>
    <mergeCell ref="L53:N53"/>
    <mergeCell ref="L54:N54"/>
    <mergeCell ref="L55:N55"/>
    <mergeCell ref="L56:N56"/>
    <mergeCell ref="B64:U69"/>
    <mergeCell ref="B63:U63"/>
    <mergeCell ref="B58:U58"/>
    <mergeCell ref="D29:G29"/>
    <mergeCell ref="H29:K29"/>
    <mergeCell ref="T29:U29"/>
    <mergeCell ref="B30:C30"/>
    <mergeCell ref="D30:G30"/>
    <mergeCell ref="H30:K30"/>
    <mergeCell ref="B38:C38"/>
    <mergeCell ref="B39:C39"/>
    <mergeCell ref="B40:C40"/>
    <mergeCell ref="B41:C41"/>
    <mergeCell ref="B45:C45"/>
    <mergeCell ref="B46:C46"/>
    <mergeCell ref="B43:C43"/>
    <mergeCell ref="P47:S47"/>
    <mergeCell ref="T47:U47"/>
    <mergeCell ref="P49:S49"/>
    <mergeCell ref="T46:U46"/>
    <mergeCell ref="L43:Q43"/>
    <mergeCell ref="L44:Q44"/>
    <mergeCell ref="L45:Q45"/>
    <mergeCell ref="T49:U49"/>
    <mergeCell ref="B24:C24"/>
    <mergeCell ref="B25:C25"/>
    <mergeCell ref="B31:C31"/>
    <mergeCell ref="B32:C32"/>
    <mergeCell ref="B33:C33"/>
    <mergeCell ref="B34:C34"/>
    <mergeCell ref="B26:C26"/>
    <mergeCell ref="B29:C29"/>
    <mergeCell ref="B18:C18"/>
    <mergeCell ref="B19:C19"/>
    <mergeCell ref="B20:C20"/>
    <mergeCell ref="B21:C21"/>
    <mergeCell ref="B22:C22"/>
    <mergeCell ref="B23:C23"/>
    <mergeCell ref="B28:C28"/>
    <mergeCell ref="B27:C27"/>
    <mergeCell ref="B16:C16"/>
    <mergeCell ref="B17:C17"/>
    <mergeCell ref="G7:H7"/>
    <mergeCell ref="S7:U7"/>
    <mergeCell ref="B9:U9"/>
    <mergeCell ref="B10:F10"/>
    <mergeCell ref="B11:F11"/>
    <mergeCell ref="P10:R10"/>
    <mergeCell ref="P11:R11"/>
    <mergeCell ref="S11:U11"/>
    <mergeCell ref="S10:U10"/>
    <mergeCell ref="I7:L7"/>
    <mergeCell ref="D17:G17"/>
    <mergeCell ref="H17:K17"/>
    <mergeCell ref="T17:U17"/>
    <mergeCell ref="D14:G14"/>
    <mergeCell ref="H14:K14"/>
    <mergeCell ref="L15:R15"/>
    <mergeCell ref="L16:R16"/>
    <mergeCell ref="L17:R17"/>
    <mergeCell ref="G3:H3"/>
    <mergeCell ref="G4:H4"/>
    <mergeCell ref="G5:H5"/>
    <mergeCell ref="G11:O11"/>
    <mergeCell ref="G10:O10"/>
    <mergeCell ref="B14:C14"/>
    <mergeCell ref="B15:C15"/>
    <mergeCell ref="I4:Q4"/>
    <mergeCell ref="G6:H6"/>
    <mergeCell ref="T30:U30"/>
    <mergeCell ref="L18:R18"/>
    <mergeCell ref="L19:R19"/>
    <mergeCell ref="L20:R20"/>
    <mergeCell ref="R5:U5"/>
    <mergeCell ref="R6:U6"/>
    <mergeCell ref="N7:Q7"/>
    <mergeCell ref="N3:Q3"/>
    <mergeCell ref="I3:L3"/>
    <mergeCell ref="I5:Q5"/>
    <mergeCell ref="I6:Q6"/>
    <mergeCell ref="T27:U27"/>
    <mergeCell ref="L21:R21"/>
    <mergeCell ref="L22:R22"/>
    <mergeCell ref="L23:R23"/>
    <mergeCell ref="L24:R24"/>
    <mergeCell ref="L25:R25"/>
    <mergeCell ref="L29:R29"/>
    <mergeCell ref="L30:R30"/>
    <mergeCell ref="D28:G28"/>
    <mergeCell ref="H28:K28"/>
    <mergeCell ref="T28:U28"/>
    <mergeCell ref="D26:G26"/>
    <mergeCell ref="H26:K26"/>
    <mergeCell ref="T26:U26"/>
    <mergeCell ref="D27:G27"/>
    <mergeCell ref="H27:K27"/>
    <mergeCell ref="L27:R27"/>
    <mergeCell ref="L28:R28"/>
    <mergeCell ref="L26:R26"/>
    <mergeCell ref="T45:U45"/>
    <mergeCell ref="T38:U38"/>
    <mergeCell ref="D38:G38"/>
    <mergeCell ref="H38:K38"/>
    <mergeCell ref="D39:G39"/>
    <mergeCell ref="H39:K39"/>
    <mergeCell ref="T39:U39"/>
    <mergeCell ref="D34:G34"/>
    <mergeCell ref="H34:K34"/>
    <mergeCell ref="T40:U40"/>
    <mergeCell ref="D41:G41"/>
    <mergeCell ref="H41:K41"/>
    <mergeCell ref="T41:U41"/>
    <mergeCell ref="L39:Q39"/>
    <mergeCell ref="L40:Q40"/>
    <mergeCell ref="D40:G40"/>
    <mergeCell ref="H40:K40"/>
    <mergeCell ref="L41:Q41"/>
    <mergeCell ref="L38:Q38"/>
    <mergeCell ref="L31:R31"/>
    <mergeCell ref="D31:G31"/>
    <mergeCell ref="H31:K31"/>
    <mergeCell ref="T31:U31"/>
    <mergeCell ref="T34:U34"/>
    <mergeCell ref="T35:U35"/>
    <mergeCell ref="P35:S35"/>
    <mergeCell ref="D32:G32"/>
    <mergeCell ref="H32:K32"/>
    <mergeCell ref="T32:U32"/>
    <mergeCell ref="D33:G33"/>
    <mergeCell ref="H33:K33"/>
    <mergeCell ref="T33:U33"/>
    <mergeCell ref="L32:R32"/>
    <mergeCell ref="L33:R33"/>
    <mergeCell ref="L34:R34"/>
    <mergeCell ref="D24:G24"/>
    <mergeCell ref="H24:K24"/>
    <mergeCell ref="T24:U24"/>
    <mergeCell ref="D25:G25"/>
    <mergeCell ref="H25:K25"/>
    <mergeCell ref="T25:U25"/>
    <mergeCell ref="D22:G22"/>
    <mergeCell ref="H22:K22"/>
    <mergeCell ref="T22:U22"/>
    <mergeCell ref="D23:G23"/>
    <mergeCell ref="H23:K23"/>
    <mergeCell ref="T23:U23"/>
    <mergeCell ref="B2:U2"/>
    <mergeCell ref="D20:G20"/>
    <mergeCell ref="H20:K20"/>
    <mergeCell ref="T20:U20"/>
    <mergeCell ref="D21:G21"/>
    <mergeCell ref="H21:K21"/>
    <mergeCell ref="T21:U21"/>
    <mergeCell ref="T14:U14"/>
    <mergeCell ref="B13:U13"/>
    <mergeCell ref="L14:R14"/>
    <mergeCell ref="D18:G18"/>
    <mergeCell ref="H18:K18"/>
    <mergeCell ref="T18:U18"/>
    <mergeCell ref="D15:G15"/>
    <mergeCell ref="H15:K15"/>
    <mergeCell ref="T15:U15"/>
    <mergeCell ref="D16:G16"/>
    <mergeCell ref="H16:K16"/>
    <mergeCell ref="T16:U16"/>
    <mergeCell ref="D19:G19"/>
    <mergeCell ref="H19:K19"/>
    <mergeCell ref="T19:U19"/>
    <mergeCell ref="R3:U3"/>
    <mergeCell ref="R4:U4"/>
  </mergeCells>
  <conditionalFormatting sqref="B2:U2">
    <cfRule type="notContainsBlanks" dxfId="0" priority="1">
      <formula>LEN(TRIM(B2))&gt;0</formula>
    </cfRule>
  </conditionalFormatting>
  <dataValidations count="4">
    <dataValidation type="list" showInputMessage="1" showErrorMessage="1" sqref="N7:Q7" xr:uid="{A8E25C51-FE5F-490A-8A3F-F623706A52EA}">
      <formula1>LISTA_TIPO_FORMULARIO</formula1>
    </dataValidation>
    <dataValidation type="list" showInputMessage="1" showErrorMessage="1" sqref="S7:U7" xr:uid="{CE094ACB-5C92-48C7-900B-9424198864B1}">
      <formula1>INDIRECT(Y3)</formula1>
    </dataValidation>
    <dataValidation type="list" showInputMessage="1" showErrorMessage="1" sqref="I3:L3" xr:uid="{E2253338-D36D-485C-958A-67F9912B4464}">
      <formula1>LISTA_EMPRESAS</formula1>
    </dataValidation>
    <dataValidation type="list" showInputMessage="1" showErrorMessage="1" sqref="D15:G34 D39:G46" xr:uid="{832B000D-D40A-4AA3-8793-D7C2834A0BDA}">
      <formula1>INDIRECT($Y$4)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4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0978BB5-78D7-40AB-B452-4273F6A07BE1}">
          <x14:formula1>
            <xm:f>CAD!$Z$4:$Z$6</xm:f>
          </x14:formula1>
          <xm:sqref>H59:J59</xm:sqref>
        </x14:dataValidation>
        <x14:dataValidation type="list" allowBlank="1" showInputMessage="1" showErrorMessage="1" xr:uid="{6048A1AF-F183-4610-8E62-EF063831A74B}">
          <x14:formula1>
            <xm:f>CAD!$AA$4:$AA$19</xm:f>
          </x14:formula1>
          <xm:sqref>H60:J60</xm:sqref>
        </x14:dataValidation>
        <x14:dataValidation type="list" allowBlank="1" showInputMessage="1" showErrorMessage="1" xr:uid="{5282392E-279D-4704-BFCC-2C7FF83E5C7A}">
          <x14:formula1>
            <xm:f>CAD!$AB$4:$AB$6</xm:f>
          </x14:formula1>
          <xm:sqref>H61:J61</xm:sqref>
        </x14:dataValidation>
        <x14:dataValidation type="list" allowBlank="1" showInputMessage="1" showErrorMessage="1" xr:uid="{712AFC3C-076E-4884-B11F-A3F3BD0085B7}">
          <x14:formula1>
            <xm:f>CAD!$AC$4:$AC$5</xm:f>
          </x14:formula1>
          <xm:sqref>R59:T59</xm:sqref>
        </x14:dataValidation>
        <x14:dataValidation type="list" allowBlank="1" showInputMessage="1" showErrorMessage="1" xr:uid="{B4D83565-E55E-4E77-8D69-FD5B85EE4CDE}">
          <x14:formula1>
            <xm:f>CAD!$AD$4:$AD$5</xm:f>
          </x14:formula1>
          <xm:sqref>R60:T60</xm:sqref>
        </x14:dataValidation>
        <x14:dataValidation type="list" allowBlank="1" showInputMessage="1" showErrorMessage="1" xr:uid="{6C9C0634-7752-4546-850C-CF18F473D74A}">
          <x14:formula1>
            <xm:f>CAD!$AE$4:$AE$5</xm:f>
          </x14:formula1>
          <xm:sqref>R61:T61</xm:sqref>
        </x14:dataValidation>
        <x14:dataValidation type="list" allowBlank="1" showInputMessage="1" showErrorMessage="1" xr:uid="{9549C656-B098-44A4-86CA-176D2AF5B5EC}">
          <x14:formula1>
            <xm:f>CAD!$X$4:$X$9</xm:f>
          </x14:formula1>
          <xm:sqref>E52:K52</xm:sqref>
        </x14:dataValidation>
        <x14:dataValidation type="list" allowBlank="1" showInputMessage="1" showErrorMessage="1" xr:uid="{79E197FB-86F4-435E-B155-522522CA0BD2}">
          <x14:formula1>
            <xm:f>CAD!$T$4:$T$10</xm:f>
          </x14:formula1>
          <xm:sqref>S10:U10</xm:sqref>
        </x14:dataValidation>
        <x14:dataValidation type="list" allowBlank="1" showInputMessage="1" showErrorMessage="1" xr:uid="{035A487A-129D-43E4-A223-84335EB084F6}">
          <x14:formula1>
            <xm:f>CAD!$AG$4:$AG$9</xm:f>
          </x14:formula1>
          <xm:sqref>O54:U54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D9E4-553C-433A-AB0E-1707582866ED}">
  <sheetPr codeName="Planilha2"/>
  <dimension ref="B2:AG208"/>
  <sheetViews>
    <sheetView showGridLines="0" topLeftCell="B1" zoomScale="85" zoomScaleNormal="85" workbookViewId="0">
      <selection activeCell="F4" sqref="F4"/>
    </sheetView>
  </sheetViews>
  <sheetFormatPr defaultColWidth="2.7265625" defaultRowHeight="14.5" x14ac:dyDescent="0.35"/>
  <cols>
    <col min="1" max="1" width="2.7265625" style="28"/>
    <col min="2" max="2" width="25.26953125" style="28" bestFit="1" customWidth="1"/>
    <col min="3" max="3" width="18" style="28" bestFit="1" customWidth="1"/>
    <col min="4" max="4" width="77.453125" style="28" bestFit="1" customWidth="1"/>
    <col min="5" max="5" width="2.7265625" style="28"/>
    <col min="6" max="6" width="26.7265625" style="28" bestFit="1" customWidth="1"/>
    <col min="7" max="7" width="22.81640625" style="28" bestFit="1" customWidth="1"/>
    <col min="8" max="8" width="18.54296875" style="28" bestFit="1" customWidth="1"/>
    <col min="9" max="9" width="2.7265625" style="28"/>
    <col min="10" max="10" width="24.1796875" style="28" bestFit="1" customWidth="1"/>
    <col min="11" max="11" width="27.26953125" style="28" bestFit="1" customWidth="1"/>
    <col min="12" max="12" width="27.7265625" style="28" bestFit="1" customWidth="1"/>
    <col min="13" max="13" width="35.453125" style="28" bestFit="1" customWidth="1"/>
    <col min="14" max="14" width="35.453125" style="28" customWidth="1"/>
    <col min="15" max="15" width="2.7265625" style="28"/>
    <col min="16" max="16" width="52.81640625" style="28" bestFit="1" customWidth="1"/>
    <col min="17" max="17" width="65.81640625" style="28" bestFit="1" customWidth="1"/>
    <col min="18" max="18" width="73.54296875" style="28" bestFit="1" customWidth="1"/>
    <col min="19" max="19" width="2.7265625" style="28"/>
    <col min="20" max="20" width="19" style="28" bestFit="1" customWidth="1"/>
    <col min="21" max="21" width="2.7265625" style="28"/>
    <col min="22" max="22" width="22.7265625" style="28" bestFit="1" customWidth="1"/>
    <col min="23" max="23" width="2.7265625" style="28"/>
    <col min="24" max="24" width="19.81640625" style="28" bestFit="1" customWidth="1"/>
    <col min="25" max="25" width="2.7265625" style="28"/>
    <col min="26" max="26" width="7.1796875" style="28" bestFit="1" customWidth="1"/>
    <col min="27" max="29" width="6.1796875" style="28" bestFit="1" customWidth="1"/>
    <col min="30" max="30" width="8" style="28" bestFit="1" customWidth="1"/>
    <col min="31" max="31" width="6.1796875" style="28" bestFit="1" customWidth="1"/>
    <col min="32" max="32" width="2.7265625" style="28"/>
    <col min="33" max="33" width="19.81640625" style="28" bestFit="1" customWidth="1"/>
    <col min="34" max="16384" width="2.7265625" style="28"/>
  </cols>
  <sheetData>
    <row r="2" spans="2:33" x14ac:dyDescent="0.35">
      <c r="B2" s="104" t="s">
        <v>52</v>
      </c>
      <c r="C2" s="104"/>
      <c r="D2" s="104"/>
      <c r="F2" s="106" t="s">
        <v>31</v>
      </c>
      <c r="G2" s="106"/>
      <c r="H2" s="106"/>
      <c r="J2" s="106" t="s">
        <v>32</v>
      </c>
      <c r="K2" s="106"/>
      <c r="L2" s="106"/>
      <c r="M2" s="106"/>
      <c r="N2" s="37"/>
      <c r="P2" s="106" t="s">
        <v>121</v>
      </c>
      <c r="Q2" s="106"/>
      <c r="R2" s="106"/>
      <c r="T2" s="29" t="s">
        <v>99</v>
      </c>
      <c r="V2" s="29" t="s">
        <v>4</v>
      </c>
      <c r="X2" s="29" t="s">
        <v>93</v>
      </c>
      <c r="Z2" s="105" t="s">
        <v>83</v>
      </c>
      <c r="AA2" s="105"/>
      <c r="AB2" s="105"/>
      <c r="AC2" s="105"/>
      <c r="AD2" s="105"/>
      <c r="AE2" s="105"/>
      <c r="AG2" s="29" t="s">
        <v>340</v>
      </c>
    </row>
    <row r="3" spans="2:33" x14ac:dyDescent="0.35">
      <c r="B3" s="30" t="s">
        <v>11</v>
      </c>
      <c r="C3" s="30" t="s">
        <v>12</v>
      </c>
      <c r="D3" s="30" t="s">
        <v>15</v>
      </c>
      <c r="F3" s="30" t="s">
        <v>53</v>
      </c>
      <c r="G3" s="30" t="s">
        <v>113</v>
      </c>
      <c r="H3" s="30" t="s">
        <v>114</v>
      </c>
      <c r="J3" s="30" t="str">
        <f>F4</f>
        <v>REEMBOLSO DE VIAGENS</v>
      </c>
      <c r="K3" s="30" t="str">
        <f>F5</f>
        <v>REEMBOLSO DE BENEFICIOS</v>
      </c>
      <c r="L3" s="30" t="str">
        <f>F6</f>
        <v>ENTRADAS FI (PAGAMENTOS)</v>
      </c>
      <c r="M3" s="30" t="str">
        <f>F7</f>
        <v>ENTRADAS FI (TRIBUTOS/ENCARGOS)</v>
      </c>
      <c r="N3" s="30" t="str">
        <f>F8</f>
        <v>ENTRADAS FI (GUIAS JUDICIAIS)</v>
      </c>
      <c r="P3" s="30" t="str">
        <f>J3</f>
        <v>REEMBOLSO DE VIAGENS</v>
      </c>
      <c r="Q3" s="30" t="str">
        <f>K3</f>
        <v>REEMBOLSO DE BENEFICIOS</v>
      </c>
      <c r="R3" s="30" t="str">
        <f>L3</f>
        <v>ENTRADAS FI (PAGAMENTOS)</v>
      </c>
      <c r="T3" s="30" t="s">
        <v>53</v>
      </c>
      <c r="V3" s="30" t="s">
        <v>53</v>
      </c>
      <c r="X3" s="30" t="s">
        <v>53</v>
      </c>
      <c r="Z3" s="30" t="s">
        <v>80</v>
      </c>
      <c r="AA3" s="30" t="s">
        <v>81</v>
      </c>
      <c r="AB3" s="30" t="s">
        <v>82</v>
      </c>
      <c r="AC3" s="30" t="s">
        <v>74</v>
      </c>
      <c r="AD3" s="30" t="s">
        <v>75</v>
      </c>
      <c r="AE3" s="30" t="s">
        <v>76</v>
      </c>
      <c r="AG3" s="30" t="s">
        <v>53</v>
      </c>
    </row>
    <row r="4" spans="2:33" x14ac:dyDescent="0.35">
      <c r="B4" s="31" t="s">
        <v>13</v>
      </c>
      <c r="C4" s="31" t="s">
        <v>14</v>
      </c>
      <c r="D4" s="31" t="s">
        <v>16</v>
      </c>
      <c r="F4" s="31" t="s">
        <v>110</v>
      </c>
      <c r="G4" s="32" t="s">
        <v>115</v>
      </c>
      <c r="H4" s="32" t="s">
        <v>118</v>
      </c>
      <c r="J4" s="31" t="s">
        <v>33</v>
      </c>
      <c r="K4" s="31" t="s">
        <v>33</v>
      </c>
      <c r="L4" s="31" t="s">
        <v>33</v>
      </c>
      <c r="M4" s="31" t="s">
        <v>49</v>
      </c>
      <c r="N4" s="31" t="s">
        <v>43</v>
      </c>
      <c r="P4" s="31" t="s">
        <v>122</v>
      </c>
      <c r="Q4" s="31" t="s">
        <v>127</v>
      </c>
      <c r="R4" s="31" t="s">
        <v>128</v>
      </c>
      <c r="T4" s="31" t="s">
        <v>103</v>
      </c>
      <c r="V4" s="31" t="s">
        <v>63</v>
      </c>
      <c r="X4" s="31" t="s">
        <v>94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33">
        <v>0</v>
      </c>
      <c r="AG4" s="31" t="s">
        <v>341</v>
      </c>
    </row>
    <row r="5" spans="2:33" x14ac:dyDescent="0.35">
      <c r="B5" s="31" t="s">
        <v>17</v>
      </c>
      <c r="C5" s="31" t="s">
        <v>18</v>
      </c>
      <c r="D5" s="31" t="s">
        <v>19</v>
      </c>
      <c r="F5" s="31" t="s">
        <v>111</v>
      </c>
      <c r="G5" s="32" t="s">
        <v>116</v>
      </c>
      <c r="H5" s="32" t="s">
        <v>119</v>
      </c>
      <c r="J5" s="34"/>
      <c r="K5" s="34"/>
      <c r="L5" s="31" t="s">
        <v>34</v>
      </c>
      <c r="M5" s="34"/>
      <c r="N5" s="34"/>
      <c r="P5" s="31" t="s">
        <v>124</v>
      </c>
      <c r="Q5" s="31" t="s">
        <v>174</v>
      </c>
      <c r="R5" s="31" t="s">
        <v>129</v>
      </c>
      <c r="T5" s="31" t="s">
        <v>100</v>
      </c>
      <c r="V5" s="31" t="s">
        <v>64</v>
      </c>
      <c r="X5" s="31" t="s">
        <v>95</v>
      </c>
      <c r="Z5" s="33">
        <v>0.11</v>
      </c>
      <c r="AA5" s="33">
        <v>0.02</v>
      </c>
      <c r="AB5" s="33">
        <v>0.01</v>
      </c>
      <c r="AC5" s="33">
        <v>6.4999999999999997E-3</v>
      </c>
      <c r="AD5" s="33">
        <v>0.03</v>
      </c>
      <c r="AE5" s="33">
        <v>0.01</v>
      </c>
      <c r="AG5" s="31" t="s">
        <v>342</v>
      </c>
    </row>
    <row r="6" spans="2:33" x14ac:dyDescent="0.35">
      <c r="B6" s="31" t="s">
        <v>20</v>
      </c>
      <c r="C6" s="31" t="s">
        <v>21</v>
      </c>
      <c r="D6" s="31" t="s">
        <v>22</v>
      </c>
      <c r="F6" s="31" t="s">
        <v>112</v>
      </c>
      <c r="G6" s="32" t="s">
        <v>117</v>
      </c>
      <c r="H6" s="32" t="s">
        <v>120</v>
      </c>
      <c r="L6" s="31" t="s">
        <v>35</v>
      </c>
      <c r="P6" s="31" t="s">
        <v>349</v>
      </c>
      <c r="Q6" s="31" t="s">
        <v>175</v>
      </c>
      <c r="R6" s="31" t="s">
        <v>130</v>
      </c>
      <c r="T6" s="31" t="s">
        <v>338</v>
      </c>
      <c r="V6" s="31" t="s">
        <v>65</v>
      </c>
      <c r="X6" s="31" t="s">
        <v>96</v>
      </c>
      <c r="Z6" s="33">
        <v>3.5000000000000003E-2</v>
      </c>
      <c r="AA6" s="33">
        <v>2.5000000000000001E-2</v>
      </c>
      <c r="AB6" s="33">
        <v>1.4999999999999999E-2</v>
      </c>
      <c r="AC6" s="33"/>
      <c r="AD6" s="33"/>
      <c r="AE6" s="33"/>
      <c r="AG6" s="31" t="s">
        <v>343</v>
      </c>
    </row>
    <row r="7" spans="2:33" x14ac:dyDescent="0.35">
      <c r="B7" s="31" t="s">
        <v>23</v>
      </c>
      <c r="C7" s="31" t="s">
        <v>24</v>
      </c>
      <c r="D7" s="31" t="s">
        <v>25</v>
      </c>
      <c r="F7" s="31" t="s">
        <v>350</v>
      </c>
      <c r="G7" s="32" t="s">
        <v>346</v>
      </c>
      <c r="H7" s="32" t="s">
        <v>347</v>
      </c>
      <c r="L7" s="31" t="s">
        <v>36</v>
      </c>
      <c r="P7" s="31" t="s">
        <v>348</v>
      </c>
      <c r="Q7" s="31" t="s">
        <v>176</v>
      </c>
      <c r="R7" s="31" t="s">
        <v>131</v>
      </c>
      <c r="T7" s="31" t="s">
        <v>101</v>
      </c>
      <c r="V7" s="31"/>
      <c r="X7" s="31" t="s">
        <v>97</v>
      </c>
      <c r="Z7" s="33"/>
      <c r="AA7" s="33">
        <v>2.7900000000000001E-2</v>
      </c>
      <c r="AB7" s="33"/>
      <c r="AC7" s="33"/>
      <c r="AD7" s="33"/>
      <c r="AE7" s="33"/>
      <c r="AG7" s="31" t="s">
        <v>98</v>
      </c>
    </row>
    <row r="8" spans="2:33" x14ac:dyDescent="0.35">
      <c r="B8" s="31" t="s">
        <v>26</v>
      </c>
      <c r="C8" s="31" t="s">
        <v>27</v>
      </c>
      <c r="D8" s="31" t="s">
        <v>28</v>
      </c>
      <c r="F8" s="31" t="s">
        <v>351</v>
      </c>
      <c r="G8" s="32" t="s">
        <v>353</v>
      </c>
      <c r="H8" s="32" t="s">
        <v>352</v>
      </c>
      <c r="L8" s="31" t="s">
        <v>37</v>
      </c>
      <c r="P8" s="31"/>
      <c r="Q8" s="31" t="s">
        <v>177</v>
      </c>
      <c r="R8" s="31" t="s">
        <v>132</v>
      </c>
      <c r="T8" s="31" t="s">
        <v>102</v>
      </c>
      <c r="X8" s="31" t="s">
        <v>98</v>
      </c>
      <c r="Z8" s="33"/>
      <c r="AA8" s="33">
        <v>0.03</v>
      </c>
      <c r="AB8" s="33"/>
      <c r="AC8" s="33"/>
      <c r="AD8" s="33"/>
      <c r="AE8" s="33"/>
      <c r="AG8" s="31" t="s">
        <v>344</v>
      </c>
    </row>
    <row r="9" spans="2:33" x14ac:dyDescent="0.35">
      <c r="B9" s="31" t="s">
        <v>29</v>
      </c>
      <c r="C9" s="31" t="s">
        <v>30</v>
      </c>
      <c r="D9" s="31" t="s">
        <v>327</v>
      </c>
      <c r="L9" s="31" t="s">
        <v>38</v>
      </c>
      <c r="P9" s="34"/>
      <c r="Q9" s="31" t="s">
        <v>178</v>
      </c>
      <c r="R9" s="31" t="s">
        <v>133</v>
      </c>
      <c r="T9" s="31" t="s">
        <v>337</v>
      </c>
      <c r="X9" s="31"/>
      <c r="Z9" s="33"/>
      <c r="AA9" s="33">
        <v>3.5000000000000003E-2</v>
      </c>
      <c r="AB9" s="33"/>
      <c r="AC9" s="33"/>
      <c r="AD9" s="33"/>
      <c r="AE9" s="33"/>
      <c r="AG9" s="31"/>
    </row>
    <row r="10" spans="2:33" x14ac:dyDescent="0.35">
      <c r="B10" s="31"/>
      <c r="C10" s="31"/>
      <c r="D10" s="31"/>
      <c r="L10" s="31" t="s">
        <v>39</v>
      </c>
      <c r="Q10" s="31" t="s">
        <v>179</v>
      </c>
      <c r="R10" s="31" t="s">
        <v>134</v>
      </c>
      <c r="Z10" s="33"/>
      <c r="AA10" s="33">
        <v>3.8399999999999997E-2</v>
      </c>
      <c r="AB10" s="33"/>
      <c r="AC10" s="33"/>
      <c r="AD10" s="33"/>
      <c r="AE10" s="33"/>
    </row>
    <row r="11" spans="2:33" x14ac:dyDescent="0.35">
      <c r="L11" s="31" t="s">
        <v>40</v>
      </c>
      <c r="Q11" s="31" t="s">
        <v>180</v>
      </c>
      <c r="R11" s="31" t="s">
        <v>135</v>
      </c>
      <c r="Z11" s="33"/>
      <c r="AA11" s="33">
        <v>3.8699999999999998E-2</v>
      </c>
      <c r="AB11" s="33"/>
      <c r="AC11" s="33"/>
      <c r="AD11" s="33"/>
      <c r="AE11" s="33"/>
    </row>
    <row r="12" spans="2:33" x14ac:dyDescent="0.35">
      <c r="L12" s="31" t="s">
        <v>41</v>
      </c>
      <c r="Q12" s="34"/>
      <c r="R12" s="31" t="s">
        <v>136</v>
      </c>
      <c r="Z12" s="33"/>
      <c r="AA12" s="33">
        <v>0.04</v>
      </c>
      <c r="AB12" s="33"/>
      <c r="AC12" s="33"/>
      <c r="AD12" s="33"/>
      <c r="AE12" s="33"/>
    </row>
    <row r="13" spans="2:33" x14ac:dyDescent="0.35">
      <c r="L13" s="31" t="s">
        <v>42</v>
      </c>
      <c r="R13" s="31" t="s">
        <v>137</v>
      </c>
      <c r="Z13" s="33"/>
      <c r="AA13" s="33">
        <v>4.2299999999999997E-2</v>
      </c>
      <c r="AB13" s="33"/>
      <c r="AC13" s="33"/>
      <c r="AD13" s="33"/>
      <c r="AE13" s="33"/>
    </row>
    <row r="14" spans="2:33" x14ac:dyDescent="0.35">
      <c r="L14" s="31" t="s">
        <v>43</v>
      </c>
      <c r="R14" s="31" t="s">
        <v>138</v>
      </c>
      <c r="Z14" s="33"/>
      <c r="AA14" s="33">
        <v>4.2599999999999999E-2</v>
      </c>
      <c r="AB14" s="33"/>
      <c r="AC14" s="33"/>
      <c r="AD14" s="33"/>
      <c r="AE14" s="33"/>
    </row>
    <row r="15" spans="2:33" x14ac:dyDescent="0.35">
      <c r="L15" s="31" t="s">
        <v>44</v>
      </c>
      <c r="R15" s="31" t="s">
        <v>139</v>
      </c>
      <c r="Z15" s="33"/>
      <c r="AA15" s="33">
        <v>4.3099999999999999E-2</v>
      </c>
      <c r="AB15" s="33"/>
      <c r="AC15" s="33"/>
      <c r="AD15" s="33"/>
      <c r="AE15" s="33"/>
    </row>
    <row r="16" spans="2:33" x14ac:dyDescent="0.35">
      <c r="L16" s="31" t="s">
        <v>45</v>
      </c>
      <c r="R16" s="31" t="s">
        <v>140</v>
      </c>
      <c r="Z16" s="33"/>
      <c r="AA16" s="33">
        <v>4.4999999999999998E-2</v>
      </c>
      <c r="AB16" s="33"/>
      <c r="AC16" s="33"/>
      <c r="AD16" s="33"/>
      <c r="AE16" s="33"/>
    </row>
    <row r="17" spans="12:31" x14ac:dyDescent="0.35">
      <c r="L17" s="31" t="s">
        <v>46</v>
      </c>
      <c r="R17" s="31" t="s">
        <v>141</v>
      </c>
      <c r="Z17" s="33"/>
      <c r="AA17" s="33">
        <v>4.6100000000000002E-2</v>
      </c>
      <c r="AB17" s="33"/>
      <c r="AC17" s="33"/>
      <c r="AD17" s="33"/>
      <c r="AE17" s="33"/>
    </row>
    <row r="18" spans="12:31" x14ac:dyDescent="0.35">
      <c r="L18" s="31" t="s">
        <v>47</v>
      </c>
      <c r="R18" s="31" t="s">
        <v>142</v>
      </c>
      <c r="Z18" s="33"/>
      <c r="AA18" s="33">
        <v>4.65E-2</v>
      </c>
      <c r="AB18" s="33"/>
      <c r="AC18" s="33"/>
      <c r="AD18" s="33"/>
      <c r="AE18" s="33"/>
    </row>
    <row r="19" spans="12:31" x14ac:dyDescent="0.35">
      <c r="L19" s="31" t="s">
        <v>48</v>
      </c>
      <c r="R19" s="31" t="s">
        <v>143</v>
      </c>
      <c r="Z19" s="33"/>
      <c r="AA19" s="33">
        <v>0.05</v>
      </c>
      <c r="AB19" s="33"/>
      <c r="AC19" s="33"/>
      <c r="AD19" s="33"/>
      <c r="AE19" s="33"/>
    </row>
    <row r="20" spans="12:31" x14ac:dyDescent="0.35">
      <c r="L20" s="31" t="s">
        <v>49</v>
      </c>
      <c r="R20" s="31" t="s">
        <v>144</v>
      </c>
      <c r="Z20" s="35"/>
      <c r="AA20" s="35"/>
      <c r="AB20" s="35"/>
      <c r="AC20" s="35"/>
      <c r="AD20" s="35"/>
      <c r="AE20" s="35"/>
    </row>
    <row r="21" spans="12:31" x14ac:dyDescent="0.35">
      <c r="L21" s="31" t="s">
        <v>50</v>
      </c>
      <c r="R21" s="31" t="s">
        <v>145</v>
      </c>
      <c r="Z21" s="36"/>
      <c r="AA21" s="36"/>
      <c r="AB21" s="36"/>
      <c r="AC21" s="36"/>
      <c r="AD21" s="36"/>
      <c r="AE21" s="36"/>
    </row>
    <row r="22" spans="12:31" x14ac:dyDescent="0.35">
      <c r="L22" s="31" t="s">
        <v>51</v>
      </c>
      <c r="R22" s="31" t="s">
        <v>146</v>
      </c>
      <c r="Z22" s="36"/>
      <c r="AA22" s="36"/>
      <c r="AB22" s="36"/>
      <c r="AC22" s="36"/>
      <c r="AD22" s="36"/>
      <c r="AE22" s="36"/>
    </row>
    <row r="23" spans="12:31" x14ac:dyDescent="0.35">
      <c r="L23" s="31"/>
      <c r="R23" s="31" t="s">
        <v>147</v>
      </c>
      <c r="Z23" s="36"/>
      <c r="AA23" s="36"/>
      <c r="AB23" s="36"/>
      <c r="AC23" s="36"/>
      <c r="AD23" s="36"/>
      <c r="AE23" s="36"/>
    </row>
    <row r="24" spans="12:31" x14ac:dyDescent="0.35">
      <c r="R24" s="31" t="s">
        <v>148</v>
      </c>
      <c r="Z24" s="36"/>
      <c r="AA24" s="36"/>
      <c r="AB24" s="36"/>
      <c r="AC24" s="36"/>
      <c r="AD24" s="36"/>
      <c r="AE24" s="36"/>
    </row>
    <row r="25" spans="12:31" x14ac:dyDescent="0.35">
      <c r="R25" s="31" t="s">
        <v>149</v>
      </c>
      <c r="Z25" s="36"/>
      <c r="AA25" s="36"/>
      <c r="AB25" s="36"/>
      <c r="AC25" s="36"/>
      <c r="AD25" s="36"/>
      <c r="AE25" s="36"/>
    </row>
    <row r="26" spans="12:31" x14ac:dyDescent="0.35">
      <c r="R26" s="31" t="s">
        <v>150</v>
      </c>
      <c r="Z26" s="36"/>
      <c r="AA26" s="36"/>
      <c r="AB26" s="36"/>
      <c r="AC26" s="36"/>
      <c r="AD26" s="36"/>
      <c r="AE26" s="36"/>
    </row>
    <row r="27" spans="12:31" x14ac:dyDescent="0.35">
      <c r="R27" s="31" t="s">
        <v>151</v>
      </c>
      <c r="Z27" s="36"/>
      <c r="AA27" s="36"/>
      <c r="AB27" s="36"/>
      <c r="AC27" s="36"/>
      <c r="AD27" s="36"/>
      <c r="AE27" s="36"/>
    </row>
    <row r="28" spans="12:31" x14ac:dyDescent="0.35">
      <c r="R28" s="31" t="s">
        <v>152</v>
      </c>
      <c r="Z28" s="36"/>
      <c r="AA28" s="36"/>
      <c r="AB28" s="36"/>
      <c r="AC28" s="36"/>
      <c r="AD28" s="36"/>
      <c r="AE28" s="36"/>
    </row>
    <row r="29" spans="12:31" x14ac:dyDescent="0.35">
      <c r="R29" s="31" t="s">
        <v>153</v>
      </c>
      <c r="Z29" s="36"/>
      <c r="AA29" s="36"/>
      <c r="AB29" s="36"/>
      <c r="AC29" s="36"/>
      <c r="AD29" s="36"/>
      <c r="AE29" s="36"/>
    </row>
    <row r="30" spans="12:31" x14ac:dyDescent="0.35">
      <c r="R30" s="31" t="s">
        <v>154</v>
      </c>
    </row>
    <row r="31" spans="12:31" x14ac:dyDescent="0.35">
      <c r="R31" s="31" t="s">
        <v>155</v>
      </c>
    </row>
    <row r="32" spans="12:31" x14ac:dyDescent="0.35">
      <c r="R32" s="31" t="s">
        <v>156</v>
      </c>
    </row>
    <row r="33" spans="18:18" x14ac:dyDescent="0.35">
      <c r="R33" s="31" t="s">
        <v>157</v>
      </c>
    </row>
    <row r="34" spans="18:18" x14ac:dyDescent="0.35">
      <c r="R34" s="31" t="s">
        <v>158</v>
      </c>
    </row>
    <row r="35" spans="18:18" x14ac:dyDescent="0.35">
      <c r="R35" s="31" t="s">
        <v>159</v>
      </c>
    </row>
    <row r="36" spans="18:18" x14ac:dyDescent="0.35">
      <c r="R36" s="31" t="s">
        <v>160</v>
      </c>
    </row>
    <row r="37" spans="18:18" x14ac:dyDescent="0.35">
      <c r="R37" s="31" t="s">
        <v>161</v>
      </c>
    </row>
    <row r="38" spans="18:18" x14ac:dyDescent="0.35">
      <c r="R38" s="31" t="s">
        <v>162</v>
      </c>
    </row>
    <row r="39" spans="18:18" x14ac:dyDescent="0.35">
      <c r="R39" s="31" t="s">
        <v>163</v>
      </c>
    </row>
    <row r="40" spans="18:18" x14ac:dyDescent="0.35">
      <c r="R40" s="31" t="s">
        <v>164</v>
      </c>
    </row>
    <row r="41" spans="18:18" x14ac:dyDescent="0.35">
      <c r="R41" s="31" t="s">
        <v>165</v>
      </c>
    </row>
    <row r="42" spans="18:18" x14ac:dyDescent="0.35">
      <c r="R42" s="31" t="s">
        <v>166</v>
      </c>
    </row>
    <row r="43" spans="18:18" x14ac:dyDescent="0.35">
      <c r="R43" s="31" t="s">
        <v>167</v>
      </c>
    </row>
    <row r="44" spans="18:18" x14ac:dyDescent="0.35">
      <c r="R44" s="31" t="s">
        <v>168</v>
      </c>
    </row>
    <row r="45" spans="18:18" x14ac:dyDescent="0.35">
      <c r="R45" s="31" t="s">
        <v>169</v>
      </c>
    </row>
    <row r="46" spans="18:18" x14ac:dyDescent="0.35">
      <c r="R46" s="31" t="s">
        <v>170</v>
      </c>
    </row>
    <row r="47" spans="18:18" x14ac:dyDescent="0.35">
      <c r="R47" s="31" t="s">
        <v>127</v>
      </c>
    </row>
    <row r="48" spans="18:18" x14ac:dyDescent="0.35">
      <c r="R48" s="31" t="s">
        <v>171</v>
      </c>
    </row>
    <row r="49" spans="18:18" x14ac:dyDescent="0.35">
      <c r="R49" s="31" t="s">
        <v>172</v>
      </c>
    </row>
    <row r="50" spans="18:18" x14ac:dyDescent="0.35">
      <c r="R50" s="31" t="s">
        <v>173</v>
      </c>
    </row>
    <row r="51" spans="18:18" x14ac:dyDescent="0.35">
      <c r="R51" s="31" t="s">
        <v>174</v>
      </c>
    </row>
    <row r="52" spans="18:18" x14ac:dyDescent="0.35">
      <c r="R52" s="31" t="s">
        <v>175</v>
      </c>
    </row>
    <row r="53" spans="18:18" x14ac:dyDescent="0.35">
      <c r="R53" s="31" t="s">
        <v>176</v>
      </c>
    </row>
    <row r="54" spans="18:18" x14ac:dyDescent="0.35">
      <c r="R54" s="31" t="s">
        <v>177</v>
      </c>
    </row>
    <row r="55" spans="18:18" x14ac:dyDescent="0.35">
      <c r="R55" s="31" t="s">
        <v>178</v>
      </c>
    </row>
    <row r="56" spans="18:18" x14ac:dyDescent="0.35">
      <c r="R56" s="31" t="s">
        <v>179</v>
      </c>
    </row>
    <row r="57" spans="18:18" x14ac:dyDescent="0.35">
      <c r="R57" s="31" t="s">
        <v>180</v>
      </c>
    </row>
    <row r="58" spans="18:18" x14ac:dyDescent="0.35">
      <c r="R58" s="31" t="s">
        <v>181</v>
      </c>
    </row>
    <row r="59" spans="18:18" x14ac:dyDescent="0.35">
      <c r="R59" s="31" t="s">
        <v>182</v>
      </c>
    </row>
    <row r="60" spans="18:18" x14ac:dyDescent="0.35">
      <c r="R60" s="31" t="s">
        <v>183</v>
      </c>
    </row>
    <row r="61" spans="18:18" x14ac:dyDescent="0.35">
      <c r="R61" s="31" t="s">
        <v>184</v>
      </c>
    </row>
    <row r="62" spans="18:18" x14ac:dyDescent="0.35">
      <c r="R62" s="31" t="s">
        <v>185</v>
      </c>
    </row>
    <row r="63" spans="18:18" x14ac:dyDescent="0.35">
      <c r="R63" s="31" t="s">
        <v>186</v>
      </c>
    </row>
    <row r="64" spans="18:18" x14ac:dyDescent="0.35">
      <c r="R64" s="31" t="s">
        <v>187</v>
      </c>
    </row>
    <row r="65" spans="18:18" x14ac:dyDescent="0.35">
      <c r="R65" s="31" t="s">
        <v>188</v>
      </c>
    </row>
    <row r="66" spans="18:18" x14ac:dyDescent="0.35">
      <c r="R66" s="31" t="s">
        <v>189</v>
      </c>
    </row>
    <row r="67" spans="18:18" x14ac:dyDescent="0.35">
      <c r="R67" s="31" t="s">
        <v>190</v>
      </c>
    </row>
    <row r="68" spans="18:18" x14ac:dyDescent="0.35">
      <c r="R68" s="31" t="s">
        <v>191</v>
      </c>
    </row>
    <row r="69" spans="18:18" x14ac:dyDescent="0.35">
      <c r="R69" s="31" t="s">
        <v>192</v>
      </c>
    </row>
    <row r="70" spans="18:18" x14ac:dyDescent="0.35">
      <c r="R70" s="31" t="s">
        <v>193</v>
      </c>
    </row>
    <row r="71" spans="18:18" x14ac:dyDescent="0.35">
      <c r="R71" s="31" t="s">
        <v>194</v>
      </c>
    </row>
    <row r="72" spans="18:18" x14ac:dyDescent="0.35">
      <c r="R72" s="31" t="s">
        <v>195</v>
      </c>
    </row>
    <row r="73" spans="18:18" x14ac:dyDescent="0.35">
      <c r="R73" s="31" t="s">
        <v>196</v>
      </c>
    </row>
    <row r="74" spans="18:18" x14ac:dyDescent="0.35">
      <c r="R74" s="31" t="s">
        <v>197</v>
      </c>
    </row>
    <row r="75" spans="18:18" x14ac:dyDescent="0.35">
      <c r="R75" s="31" t="s">
        <v>198</v>
      </c>
    </row>
    <row r="76" spans="18:18" x14ac:dyDescent="0.35">
      <c r="R76" s="31" t="s">
        <v>199</v>
      </c>
    </row>
    <row r="77" spans="18:18" x14ac:dyDescent="0.35">
      <c r="R77" s="31" t="s">
        <v>200</v>
      </c>
    </row>
    <row r="78" spans="18:18" x14ac:dyDescent="0.35">
      <c r="R78" s="31" t="s">
        <v>201</v>
      </c>
    </row>
    <row r="79" spans="18:18" x14ac:dyDescent="0.35">
      <c r="R79" s="31" t="s">
        <v>202</v>
      </c>
    </row>
    <row r="80" spans="18:18" x14ac:dyDescent="0.35">
      <c r="R80" s="31" t="s">
        <v>203</v>
      </c>
    </row>
    <row r="81" spans="18:18" x14ac:dyDescent="0.35">
      <c r="R81" s="31" t="s">
        <v>204</v>
      </c>
    </row>
    <row r="82" spans="18:18" x14ac:dyDescent="0.35">
      <c r="R82" s="31" t="s">
        <v>205</v>
      </c>
    </row>
    <row r="83" spans="18:18" x14ac:dyDescent="0.35">
      <c r="R83" s="31" t="s">
        <v>206</v>
      </c>
    </row>
    <row r="84" spans="18:18" x14ac:dyDescent="0.35">
      <c r="R84" s="31" t="s">
        <v>207</v>
      </c>
    </row>
    <row r="85" spans="18:18" x14ac:dyDescent="0.35">
      <c r="R85" s="31" t="s">
        <v>208</v>
      </c>
    </row>
    <row r="86" spans="18:18" x14ac:dyDescent="0.35">
      <c r="R86" s="31" t="s">
        <v>209</v>
      </c>
    </row>
    <row r="87" spans="18:18" x14ac:dyDescent="0.35">
      <c r="R87" s="31" t="s">
        <v>210</v>
      </c>
    </row>
    <row r="88" spans="18:18" x14ac:dyDescent="0.35">
      <c r="R88" s="31" t="s">
        <v>211</v>
      </c>
    </row>
    <row r="89" spans="18:18" x14ac:dyDescent="0.35">
      <c r="R89" s="31" t="s">
        <v>212</v>
      </c>
    </row>
    <row r="90" spans="18:18" x14ac:dyDescent="0.35">
      <c r="R90" s="31" t="s">
        <v>213</v>
      </c>
    </row>
    <row r="91" spans="18:18" x14ac:dyDescent="0.35">
      <c r="R91" s="31" t="s">
        <v>214</v>
      </c>
    </row>
    <row r="92" spans="18:18" x14ac:dyDescent="0.35">
      <c r="R92" s="31" t="s">
        <v>215</v>
      </c>
    </row>
    <row r="93" spans="18:18" x14ac:dyDescent="0.35">
      <c r="R93" s="31" t="s">
        <v>216</v>
      </c>
    </row>
    <row r="94" spans="18:18" x14ac:dyDescent="0.35">
      <c r="R94" s="31" t="s">
        <v>217</v>
      </c>
    </row>
    <row r="95" spans="18:18" x14ac:dyDescent="0.35">
      <c r="R95" s="31" t="s">
        <v>218</v>
      </c>
    </row>
    <row r="96" spans="18:18" x14ac:dyDescent="0.35">
      <c r="R96" s="31" t="s">
        <v>219</v>
      </c>
    </row>
    <row r="97" spans="18:18" x14ac:dyDescent="0.35">
      <c r="R97" s="31" t="s">
        <v>220</v>
      </c>
    </row>
    <row r="98" spans="18:18" x14ac:dyDescent="0.35">
      <c r="R98" s="31" t="s">
        <v>221</v>
      </c>
    </row>
    <row r="99" spans="18:18" x14ac:dyDescent="0.35">
      <c r="R99" s="31" t="s">
        <v>222</v>
      </c>
    </row>
    <row r="100" spans="18:18" x14ac:dyDescent="0.35">
      <c r="R100" s="31" t="s">
        <v>223</v>
      </c>
    </row>
    <row r="101" spans="18:18" x14ac:dyDescent="0.35">
      <c r="R101" s="31" t="s">
        <v>224</v>
      </c>
    </row>
    <row r="102" spans="18:18" x14ac:dyDescent="0.35">
      <c r="R102" s="31" t="s">
        <v>225</v>
      </c>
    </row>
    <row r="103" spans="18:18" x14ac:dyDescent="0.35">
      <c r="R103" s="31" t="s">
        <v>226</v>
      </c>
    </row>
    <row r="104" spans="18:18" x14ac:dyDescent="0.35">
      <c r="R104" s="31" t="s">
        <v>227</v>
      </c>
    </row>
    <row r="105" spans="18:18" x14ac:dyDescent="0.35">
      <c r="R105" s="31" t="s">
        <v>228</v>
      </c>
    </row>
    <row r="106" spans="18:18" x14ac:dyDescent="0.35">
      <c r="R106" s="31" t="s">
        <v>229</v>
      </c>
    </row>
    <row r="107" spans="18:18" x14ac:dyDescent="0.35">
      <c r="R107" s="31" t="s">
        <v>230</v>
      </c>
    </row>
    <row r="108" spans="18:18" x14ac:dyDescent="0.35">
      <c r="R108" s="31" t="s">
        <v>231</v>
      </c>
    </row>
    <row r="109" spans="18:18" x14ac:dyDescent="0.35">
      <c r="R109" s="31" t="s">
        <v>232</v>
      </c>
    </row>
    <row r="110" spans="18:18" x14ac:dyDescent="0.35">
      <c r="R110" s="31" t="s">
        <v>233</v>
      </c>
    </row>
    <row r="111" spans="18:18" x14ac:dyDescent="0.35">
      <c r="R111" s="31" t="s">
        <v>234</v>
      </c>
    </row>
    <row r="112" spans="18:18" x14ac:dyDescent="0.35">
      <c r="R112" s="31" t="s">
        <v>235</v>
      </c>
    </row>
    <row r="113" spans="18:18" x14ac:dyDescent="0.35">
      <c r="R113" s="31" t="s">
        <v>236</v>
      </c>
    </row>
    <row r="114" spans="18:18" x14ac:dyDescent="0.35">
      <c r="R114" s="31" t="s">
        <v>237</v>
      </c>
    </row>
    <row r="115" spans="18:18" x14ac:dyDescent="0.35">
      <c r="R115" s="31" t="s">
        <v>238</v>
      </c>
    </row>
    <row r="116" spans="18:18" x14ac:dyDescent="0.35">
      <c r="R116" s="31" t="s">
        <v>239</v>
      </c>
    </row>
    <row r="117" spans="18:18" x14ac:dyDescent="0.35">
      <c r="R117" s="31" t="s">
        <v>240</v>
      </c>
    </row>
    <row r="118" spans="18:18" x14ac:dyDescent="0.35">
      <c r="R118" s="31" t="s">
        <v>241</v>
      </c>
    </row>
    <row r="119" spans="18:18" x14ac:dyDescent="0.35">
      <c r="R119" s="31" t="s">
        <v>242</v>
      </c>
    </row>
    <row r="120" spans="18:18" x14ac:dyDescent="0.35">
      <c r="R120" s="31" t="s">
        <v>243</v>
      </c>
    </row>
    <row r="121" spans="18:18" x14ac:dyDescent="0.35">
      <c r="R121" s="31" t="s">
        <v>244</v>
      </c>
    </row>
    <row r="122" spans="18:18" x14ac:dyDescent="0.35">
      <c r="R122" s="31" t="s">
        <v>245</v>
      </c>
    </row>
    <row r="123" spans="18:18" x14ac:dyDescent="0.35">
      <c r="R123" s="31" t="s">
        <v>246</v>
      </c>
    </row>
    <row r="124" spans="18:18" x14ac:dyDescent="0.35">
      <c r="R124" s="31" t="s">
        <v>247</v>
      </c>
    </row>
    <row r="125" spans="18:18" x14ac:dyDescent="0.35">
      <c r="R125" s="31" t="s">
        <v>248</v>
      </c>
    </row>
    <row r="126" spans="18:18" x14ac:dyDescent="0.35">
      <c r="R126" s="31" t="s">
        <v>249</v>
      </c>
    </row>
    <row r="127" spans="18:18" x14ac:dyDescent="0.35">
      <c r="R127" s="31" t="s">
        <v>250</v>
      </c>
    </row>
    <row r="128" spans="18:18" x14ac:dyDescent="0.35">
      <c r="R128" s="31" t="s">
        <v>251</v>
      </c>
    </row>
    <row r="129" spans="18:18" x14ac:dyDescent="0.35">
      <c r="R129" s="31" t="s">
        <v>252</v>
      </c>
    </row>
    <row r="130" spans="18:18" x14ac:dyDescent="0.35">
      <c r="R130" s="31" t="s">
        <v>253</v>
      </c>
    </row>
    <row r="131" spans="18:18" x14ac:dyDescent="0.35">
      <c r="R131" s="31" t="s">
        <v>254</v>
      </c>
    </row>
    <row r="132" spans="18:18" x14ac:dyDescent="0.35">
      <c r="R132" s="31" t="s">
        <v>255</v>
      </c>
    </row>
    <row r="133" spans="18:18" x14ac:dyDescent="0.35">
      <c r="R133" s="31" t="s">
        <v>256</v>
      </c>
    </row>
    <row r="134" spans="18:18" x14ac:dyDescent="0.35">
      <c r="R134" s="31" t="s">
        <v>257</v>
      </c>
    </row>
    <row r="135" spans="18:18" x14ac:dyDescent="0.35">
      <c r="R135" s="31" t="s">
        <v>258</v>
      </c>
    </row>
    <row r="136" spans="18:18" x14ac:dyDescent="0.35">
      <c r="R136" s="31" t="s">
        <v>259</v>
      </c>
    </row>
    <row r="137" spans="18:18" x14ac:dyDescent="0.35">
      <c r="R137" s="31" t="s">
        <v>260</v>
      </c>
    </row>
    <row r="138" spans="18:18" x14ac:dyDescent="0.35">
      <c r="R138" s="31" t="s">
        <v>261</v>
      </c>
    </row>
    <row r="139" spans="18:18" x14ac:dyDescent="0.35">
      <c r="R139" s="31" t="s">
        <v>262</v>
      </c>
    </row>
    <row r="140" spans="18:18" x14ac:dyDescent="0.35">
      <c r="R140" s="31" t="s">
        <v>263</v>
      </c>
    </row>
    <row r="141" spans="18:18" x14ac:dyDescent="0.35">
      <c r="R141" s="31" t="s">
        <v>264</v>
      </c>
    </row>
    <row r="142" spans="18:18" x14ac:dyDescent="0.35">
      <c r="R142" s="31" t="s">
        <v>265</v>
      </c>
    </row>
    <row r="143" spans="18:18" x14ac:dyDescent="0.35">
      <c r="R143" s="31" t="s">
        <v>266</v>
      </c>
    </row>
    <row r="144" spans="18:18" x14ac:dyDescent="0.35">
      <c r="R144" s="31" t="s">
        <v>267</v>
      </c>
    </row>
    <row r="145" spans="18:18" x14ac:dyDescent="0.35">
      <c r="R145" s="31" t="s">
        <v>268</v>
      </c>
    </row>
    <row r="146" spans="18:18" x14ac:dyDescent="0.35">
      <c r="R146" s="31" t="s">
        <v>269</v>
      </c>
    </row>
    <row r="147" spans="18:18" x14ac:dyDescent="0.35">
      <c r="R147" s="31" t="s">
        <v>270</v>
      </c>
    </row>
    <row r="148" spans="18:18" x14ac:dyDescent="0.35">
      <c r="R148" s="31" t="s">
        <v>271</v>
      </c>
    </row>
    <row r="149" spans="18:18" x14ac:dyDescent="0.35">
      <c r="R149" s="31" t="s">
        <v>272</v>
      </c>
    </row>
    <row r="150" spans="18:18" x14ac:dyDescent="0.35">
      <c r="R150" s="31" t="s">
        <v>273</v>
      </c>
    </row>
    <row r="151" spans="18:18" x14ac:dyDescent="0.35">
      <c r="R151" s="31" t="s">
        <v>274</v>
      </c>
    </row>
    <row r="152" spans="18:18" x14ac:dyDescent="0.35">
      <c r="R152" s="31" t="s">
        <v>275</v>
      </c>
    </row>
    <row r="153" spans="18:18" x14ac:dyDescent="0.35">
      <c r="R153" s="31" t="s">
        <v>276</v>
      </c>
    </row>
    <row r="154" spans="18:18" x14ac:dyDescent="0.35">
      <c r="R154" s="31" t="s">
        <v>277</v>
      </c>
    </row>
    <row r="155" spans="18:18" x14ac:dyDescent="0.35">
      <c r="R155" s="31" t="s">
        <v>278</v>
      </c>
    </row>
    <row r="156" spans="18:18" x14ac:dyDescent="0.35">
      <c r="R156" s="31" t="s">
        <v>279</v>
      </c>
    </row>
    <row r="157" spans="18:18" x14ac:dyDescent="0.35">
      <c r="R157" s="31" t="s">
        <v>280</v>
      </c>
    </row>
    <row r="158" spans="18:18" x14ac:dyDescent="0.35">
      <c r="R158" s="31" t="s">
        <v>281</v>
      </c>
    </row>
    <row r="159" spans="18:18" x14ac:dyDescent="0.35">
      <c r="R159" s="31" t="s">
        <v>282</v>
      </c>
    </row>
    <row r="160" spans="18:18" x14ac:dyDescent="0.35">
      <c r="R160" s="31" t="s">
        <v>283</v>
      </c>
    </row>
    <row r="161" spans="18:18" x14ac:dyDescent="0.35">
      <c r="R161" s="31" t="s">
        <v>284</v>
      </c>
    </row>
    <row r="162" spans="18:18" x14ac:dyDescent="0.35">
      <c r="R162" s="31" t="s">
        <v>285</v>
      </c>
    </row>
    <row r="163" spans="18:18" x14ac:dyDescent="0.35">
      <c r="R163" s="31" t="s">
        <v>286</v>
      </c>
    </row>
    <row r="164" spans="18:18" x14ac:dyDescent="0.35">
      <c r="R164" s="31" t="s">
        <v>287</v>
      </c>
    </row>
    <row r="165" spans="18:18" x14ac:dyDescent="0.35">
      <c r="R165" s="31" t="s">
        <v>288</v>
      </c>
    </row>
    <row r="166" spans="18:18" x14ac:dyDescent="0.35">
      <c r="R166" s="31" t="s">
        <v>289</v>
      </c>
    </row>
    <row r="167" spans="18:18" x14ac:dyDescent="0.35">
      <c r="R167" s="31" t="s">
        <v>290</v>
      </c>
    </row>
    <row r="168" spans="18:18" x14ac:dyDescent="0.35">
      <c r="R168" s="31" t="s">
        <v>291</v>
      </c>
    </row>
    <row r="169" spans="18:18" x14ac:dyDescent="0.35">
      <c r="R169" s="31" t="s">
        <v>122</v>
      </c>
    </row>
    <row r="170" spans="18:18" x14ac:dyDescent="0.35">
      <c r="R170" s="31" t="s">
        <v>123</v>
      </c>
    </row>
    <row r="171" spans="18:18" x14ac:dyDescent="0.35">
      <c r="R171" s="31" t="s">
        <v>292</v>
      </c>
    </row>
    <row r="172" spans="18:18" x14ac:dyDescent="0.35">
      <c r="R172" s="31" t="s">
        <v>293</v>
      </c>
    </row>
    <row r="173" spans="18:18" x14ac:dyDescent="0.35">
      <c r="R173" s="31" t="s">
        <v>294</v>
      </c>
    </row>
    <row r="174" spans="18:18" x14ac:dyDescent="0.35">
      <c r="R174" s="31" t="s">
        <v>295</v>
      </c>
    </row>
    <row r="175" spans="18:18" x14ac:dyDescent="0.35">
      <c r="R175" s="31" t="s">
        <v>296</v>
      </c>
    </row>
    <row r="176" spans="18:18" x14ac:dyDescent="0.35">
      <c r="R176" s="31" t="s">
        <v>297</v>
      </c>
    </row>
    <row r="177" spans="18:18" x14ac:dyDescent="0.35">
      <c r="R177" s="31" t="s">
        <v>298</v>
      </c>
    </row>
    <row r="178" spans="18:18" x14ac:dyDescent="0.35">
      <c r="R178" s="31" t="s">
        <v>299</v>
      </c>
    </row>
    <row r="179" spans="18:18" x14ac:dyDescent="0.35">
      <c r="R179" s="31" t="s">
        <v>300</v>
      </c>
    </row>
    <row r="180" spans="18:18" x14ac:dyDescent="0.35">
      <c r="R180" s="31" t="s">
        <v>301</v>
      </c>
    </row>
    <row r="181" spans="18:18" x14ac:dyDescent="0.35">
      <c r="R181" s="31" t="s">
        <v>302</v>
      </c>
    </row>
    <row r="182" spans="18:18" x14ac:dyDescent="0.35">
      <c r="R182" s="31" t="s">
        <v>303</v>
      </c>
    </row>
    <row r="183" spans="18:18" x14ac:dyDescent="0.35">
      <c r="R183" s="31" t="s">
        <v>304</v>
      </c>
    </row>
    <row r="184" spans="18:18" x14ac:dyDescent="0.35">
      <c r="R184" s="31" t="s">
        <v>305</v>
      </c>
    </row>
    <row r="185" spans="18:18" x14ac:dyDescent="0.35">
      <c r="R185" s="31" t="s">
        <v>306</v>
      </c>
    </row>
    <row r="186" spans="18:18" x14ac:dyDescent="0.35">
      <c r="R186" s="31" t="s">
        <v>307</v>
      </c>
    </row>
    <row r="187" spans="18:18" x14ac:dyDescent="0.35">
      <c r="R187" s="31" t="s">
        <v>308</v>
      </c>
    </row>
    <row r="188" spans="18:18" x14ac:dyDescent="0.35">
      <c r="R188" s="31" t="s">
        <v>309</v>
      </c>
    </row>
    <row r="189" spans="18:18" x14ac:dyDescent="0.35">
      <c r="R189" s="31" t="s">
        <v>310</v>
      </c>
    </row>
    <row r="190" spans="18:18" x14ac:dyDescent="0.35">
      <c r="R190" s="31" t="s">
        <v>311</v>
      </c>
    </row>
    <row r="191" spans="18:18" x14ac:dyDescent="0.35">
      <c r="R191" s="31" t="s">
        <v>312</v>
      </c>
    </row>
    <row r="192" spans="18:18" x14ac:dyDescent="0.35">
      <c r="R192" s="31" t="s">
        <v>313</v>
      </c>
    </row>
    <row r="193" spans="18:18" x14ac:dyDescent="0.35">
      <c r="R193" s="31" t="s">
        <v>314</v>
      </c>
    </row>
    <row r="194" spans="18:18" x14ac:dyDescent="0.35">
      <c r="R194" s="31" t="s">
        <v>315</v>
      </c>
    </row>
    <row r="195" spans="18:18" x14ac:dyDescent="0.35">
      <c r="R195" s="31" t="s">
        <v>316</v>
      </c>
    </row>
    <row r="196" spans="18:18" x14ac:dyDescent="0.35">
      <c r="R196" s="31" t="s">
        <v>317</v>
      </c>
    </row>
    <row r="197" spans="18:18" x14ac:dyDescent="0.35">
      <c r="R197" s="31" t="s">
        <v>124</v>
      </c>
    </row>
    <row r="198" spans="18:18" x14ac:dyDescent="0.35">
      <c r="R198" s="31" t="s">
        <v>318</v>
      </c>
    </row>
    <row r="199" spans="18:18" x14ac:dyDescent="0.35">
      <c r="R199" s="31" t="s">
        <v>319</v>
      </c>
    </row>
    <row r="200" spans="18:18" x14ac:dyDescent="0.35">
      <c r="R200" s="31" t="s">
        <v>320</v>
      </c>
    </row>
    <row r="201" spans="18:18" x14ac:dyDescent="0.35">
      <c r="R201" s="31" t="s">
        <v>321</v>
      </c>
    </row>
    <row r="202" spans="18:18" x14ac:dyDescent="0.35">
      <c r="R202" s="31" t="s">
        <v>125</v>
      </c>
    </row>
    <row r="203" spans="18:18" x14ac:dyDescent="0.35">
      <c r="R203" s="31" t="s">
        <v>126</v>
      </c>
    </row>
    <row r="204" spans="18:18" x14ac:dyDescent="0.35">
      <c r="R204" s="31" t="s">
        <v>322</v>
      </c>
    </row>
    <row r="205" spans="18:18" x14ac:dyDescent="0.35">
      <c r="R205" s="31" t="s">
        <v>323</v>
      </c>
    </row>
    <row r="206" spans="18:18" x14ac:dyDescent="0.35">
      <c r="R206" s="31" t="s">
        <v>324</v>
      </c>
    </row>
    <row r="207" spans="18:18" x14ac:dyDescent="0.35">
      <c r="R207" s="31" t="s">
        <v>325</v>
      </c>
    </row>
    <row r="208" spans="18:18" x14ac:dyDescent="0.35">
      <c r="R208" s="31" t="s">
        <v>326</v>
      </c>
    </row>
  </sheetData>
  <mergeCells count="5">
    <mergeCell ref="B2:D2"/>
    <mergeCell ref="Z2:AE2"/>
    <mergeCell ref="F2:H2"/>
    <mergeCell ref="P2:R2"/>
    <mergeCell ref="J2: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13</vt:i4>
      </vt:variant>
    </vt:vector>
  </HeadingPairs>
  <TitlesOfParts>
    <vt:vector size="15" baseType="lpstr">
      <vt:lpstr>FORMULARIO_FI</vt:lpstr>
      <vt:lpstr>CAD</vt:lpstr>
      <vt:lpstr>FORMULARIO_FI!Area_de_impressao</vt:lpstr>
      <vt:lpstr>CONTA_BENEFICIOS</vt:lpstr>
      <vt:lpstr>CONTA_FI</vt:lpstr>
      <vt:lpstr>CONTA_VIAGENS</vt:lpstr>
      <vt:lpstr>ESTRATEGIA_BENEFICIOS</vt:lpstr>
      <vt:lpstr>ESTRATEGIA_EX</vt:lpstr>
      <vt:lpstr>ESTRATEGIA_FI</vt:lpstr>
      <vt:lpstr>ESTRATEGIA_JU</vt:lpstr>
      <vt:lpstr>ESTRATEGIA_VIAGENS</vt:lpstr>
      <vt:lpstr>LISTA_EMPRESAS</vt:lpstr>
      <vt:lpstr>LISTA_ESTRATEGIA_APROVACAO</vt:lpstr>
      <vt:lpstr>LISTA_FORMA_PGTO</vt:lpstr>
      <vt:lpstr>LISTA_TIPO_FORMULARIO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Rafael Domingues</dc:creator>
  <cp:lastModifiedBy>Joao Victor Borges Guimaraes</cp:lastModifiedBy>
  <cp:lastPrinted>2025-07-23T10:44:11Z</cp:lastPrinted>
  <dcterms:created xsi:type="dcterms:W3CDTF">2025-07-04T15:34:06Z</dcterms:created>
  <dcterms:modified xsi:type="dcterms:W3CDTF">2026-02-24T18:40:42Z</dcterms:modified>
</cp:coreProperties>
</file>